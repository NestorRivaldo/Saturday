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3b1d094d648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🏠 Portada" sheetId="1" r:id="Rfc58d605634046f1"/>
    <x:sheet xmlns:r="http://schemas.openxmlformats.org/officeDocument/2006/relationships" name="📊 BSC Completo" sheetId="2" r:id="Rb7b28fb58ce64180"/>
    <x:sheet xmlns:r="http://schemas.openxmlformats.org/officeDocument/2006/relationships" name="💰 Financiera" sheetId="3" r:id="R34d015dd2c75492f"/>
    <x:sheet xmlns:r="http://schemas.openxmlformats.org/officeDocument/2006/relationships" name="👥 Clientes" sheetId="4" r:id="R097727c292714d65"/>
    <x:sheet xmlns:r="http://schemas.openxmlformats.org/officeDocument/2006/relationships" name="🔧 Procesos" sheetId="5" r:id="Ra8b5ca4b8d85425f"/>
    <x:sheet xmlns:r="http://schemas.openxmlformats.org/officeDocument/2006/relationships" name="📚 Aprendizaje" sheetId="6" r:id="R160179d8a0894a8e"/>
    <x:sheet xmlns:r="http://schemas.openxmlformats.org/officeDocument/2006/relationships" name="📈 Dashboard" sheetId="7" r:id="Rc288eb21d14a4b8b"/>
    <x:sheet xmlns:r="http://schemas.openxmlformats.org/officeDocument/2006/relationships" name="⚙️ Configuración" sheetId="8" r:id="Rd78ec379b41d4377"/>
    <x:sheet xmlns:r="http://schemas.openxmlformats.org/officeDocument/2006/relationships" name="📅 Seguimiento mensual" sheetId="9" r:id="R83ba079cf0b9444b"/>
    <x:sheet xmlns:r="http://schemas.openxmlformats.org/officeDocument/2006/relationships" name="🛠️ Plan de acción" sheetId="10" r:id="R5a806eedcccc43ad"/>
    <x:sheet xmlns:r="http://schemas.openxmlformats.org/officeDocument/2006/relationships" name="Base Southwest" sheetId="11" r:id="R6a1fd019dd5e4875"/>
  </x:sheets>
</x:workbook>
</file>

<file path=xl/sharedStrings.xml><?xml version="1.0" encoding="utf-8"?>
<x:sst xmlns:x="http://schemas.openxmlformats.org/spreadsheetml/2006/main">
  <x:si>
    <x:t xml:space="preserve">CONTENIDO DEL LIBRO</x:t>
  </x:si>
  <x:si>
    <x:t xml:space="preserve">  ▸  📊 BSC Completo</x:t>
  </x:si>
  <x:si>
    <x:t xml:space="preserve">  ▸  💰 Financiera</x:t>
  </x:si>
  <x:si>
    <x:t xml:space="preserve">  ▸  👥 Clientes</x:t>
  </x:si>
  <x:si>
    <x:t xml:space="preserve">  ▸  🔧 Procesos</x:t>
  </x:si>
  <x:si>
    <x:t xml:space="preserve">  ▸  📚 Aprendizaje</x:t>
  </x:si>
  <x:si>
    <x:t xml:space="preserve">  ▸  📈 Dashboard</x:t>
  </x:si>
  <x:si>
    <x:t xml:space="preserve">  ▸  📅 Seguimiento mensual</x:t>
  </x:si>
  <x:si>
    <x:t xml:space="preserve">KPIs críticos / riesgo alto</x:t>
  </x:si>
  <x:si>
    <x:t xml:space="preserve">🌟 SUPERA META</x:t>
  </x:si>
  <x:si>
    <x:t xml:space="preserve">110% o más</x:t>
  </x:si>
  <x:si>
    <x:t xml:space="preserve">🟢 LOGRADO</x:t>
  </x:si>
  <x:si>
    <x:t xml:space="preserve">100% a 109,9%</x:t>
  </x:si>
  <x:si>
    <x:t xml:space="preserve">🟡 CASI LOGRADO</x:t>
  </x:si>
  <x:si>
    <x:t xml:space="preserve">90% a 99,9%</x:t>
  </x:si>
  <x:si>
    <x:t xml:space="preserve">🟠 RIESGO MODERADO</x:t>
  </x:si>
  <x:si>
    <x:t xml:space="preserve">75% a 89,9%</x:t>
  </x:si>
  <x:si>
    <x:t xml:space="preserve">🔴 RIESGO ALTO</x:t>
  </x:si>
  <x:si>
    <x:t xml:space="preserve">60% a 74,9%</x:t>
  </x:si>
  <x:si>
    <x:t xml:space="preserve">⛔ CRÍTICO</x:t>
  </x:si>
  <x:si>
    <x:t xml:space="preserve">Menos de 60%</x:t>
  </x:si>
  <x:si>
    <x:t xml:space="preserve">SIN DATOS</x:t>
  </x:si>
  <x:si>
    <x:t xml:space="preserve">Dato vacío o no válido</x:t>
  </x:si>
  <x:si>
    <x:t xml:space="preserve">Nivel</x:t>
  </x:si>
  <x:si>
    <x:t xml:space="preserve">Cumplimiento mínimo (%)</x:t>
  </x:si>
  <x:si>
    <x:t xml:space="preserve">Interpretación</x:t>
  </x:si>
  <x:si>
    <x:t xml:space="preserve">Resultado muy superior a la meta</x:t>
  </x:si>
  <x:si>
    <x:t xml:space="preserve">Meta alcanzada</x:t>
  </x:si>
  <x:si>
    <x:t xml:space="preserve">Brecha pequeña</x:t>
  </x:si>
  <x:si>
    <x:t xml:space="preserve">Necesita acciones correctivas</x:t>
  </x:si>
  <x:si>
    <x:t xml:space="preserve">Intervención prioritaria</x:t>
  </x:si>
  <x:si>
    <x:t xml:space="preserve">Recuperación urgente</x:t>
  </x:si>
  <x:si>
    <x:t xml:space="preserve">Año</x:t>
  </x:si>
  <x:si>
    <x:t xml:space="preserve">Mes</x:t>
  </x:si>
  <x:si>
    <x:t xml:space="preserve">Perspectiva</x:t>
  </x:si>
  <x:si>
    <x:t xml:space="preserve">Indicador (KPI)</x:t>
  </x:si>
  <x:si>
    <x:t xml:space="preserve">Meta del periodo</x:t>
  </x:si>
  <x:si>
    <x:t xml:space="preserve">Resultado real</x:t>
  </x:si>
  <x:si>
    <x:t xml:space="preserve">Dirección</x:t>
  </x:si>
  <x:si>
    <x:t xml:space="preserve">Cumplimiento (%)</x:t>
  </x:si>
  <x:si>
    <x:t xml:space="preserve">Estado</x:t>
  </x:si>
  <x:si>
    <x:t xml:space="preserve">Responsable</x:t>
  </x:si>
  <x:si>
    <x:t xml:space="preserve">Comentario / causa</x:t>
  </x:si>
  <x:si>
    <x:t xml:space="preserve">ID</x:t>
  </x:si>
  <x:si>
    <x:t xml:space="preserve">Indicador / problema</x:t>
  </x:si>
  <x:si>
    <x:t xml:space="preserve">Nivel de riesgo</x:t>
  </x:si>
  <x:si>
    <x:t xml:space="preserve">Causa identificada</x:t>
  </x:si>
  <x:si>
    <x:t xml:space="preserve">Acción correctiva</x:t>
  </x:si>
  <x:si>
    <x:t xml:space="preserve">Fecha inicio</x:t>
  </x:si>
  <x:si>
    <x:t xml:space="preserve">Fecha límite</x:t>
  </x:si>
  <x:si>
    <x:t xml:space="preserve">Estado de acción</x:t>
  </x:si>
  <x:si>
    <x:t xml:space="preserve">Resultado esperado</x:t>
  </x:si>
  <x:si>
    <x:t xml:space="preserve">PA-006</x:t>
  </x:si>
  <x:si>
    <x:t xml:space="preserve">PA-007</x:t>
  </x:si>
  <x:si>
    <x:t xml:space="preserve">PA-008</x:t>
  </x:si>
  <x:si>
    <x:t xml:space="preserve">PA-009</x:t>
  </x:si>
  <x:si>
    <x:t xml:space="preserve">PA-010</x:t>
  </x:si>
  <x:si>
    <x:t xml:space="preserve">PA-011</x:t>
  </x:si>
  <x:si>
    <x:t xml:space="preserve">PA-012</x:t>
  </x:si>
  <x:si>
    <x:t xml:space="preserve">PA-013</x:t>
  </x:si>
  <x:si>
    <x:t xml:space="preserve">PA-014</x:t>
  </x:si>
  <x:si>
    <x:t xml:space="preserve">PA-015</x:t>
  </x:si>
  <x:si>
    <x:t xml:space="preserve">PA-016</x:t>
  </x:si>
  <x:si>
    <x:t xml:space="preserve">PA-017</x:t>
  </x:si>
  <x:si>
    <x:t xml:space="preserve">PA-018</x:t>
  </x:si>
  <x:si>
    <x:t xml:space="preserve">PA-019</x:t>
  </x:si>
  <x:si>
    <x:t xml:space="preserve">PA-020</x:t>
  </x:si>
  <x:si>
    <x:t xml:space="preserve">PA-021</x:t>
  </x:si>
  <x:si>
    <x:t xml:space="preserve">PA-022</x:t>
  </x:si>
  <x:si>
    <x:t xml:space="preserve">PA-023</x:t>
  </x:si>
  <x:si>
    <x:t xml:space="preserve">PA-024</x:t>
  </x:si>
  <x:si>
    <x:t xml:space="preserve">PA-025</x:t>
  </x:si>
  <x:si>
    <x:t xml:space="preserve">PA-026</x:t>
  </x:si>
  <x:si>
    <x:t xml:space="preserve">PA-027</x:t>
  </x:si>
  <x:si>
    <x:t xml:space="preserve">PA-028</x:t>
  </x:si>
  <x:si>
    <x:t xml:space="preserve">PA-029</x:t>
  </x:si>
  <x:si>
    <x:t xml:space="preserve">PA-030</x:t>
  </x:si>
  <x:si>
    <x:t xml:space="preserve">PA-031</x:t>
  </x:si>
  <x:si>
    <x:t xml:space="preserve">PA-032</x:t>
  </x:si>
  <x:si>
    <x:t xml:space="preserve">PA-033</x:t>
  </x:si>
  <x:si>
    <x:t xml:space="preserve">PA-034</x:t>
  </x:si>
  <x:si>
    <x:t xml:space="preserve">PA-035</x:t>
  </x:si>
  <x:si>
    <x:t xml:space="preserve">PA-036</x:t>
  </x:si>
  <x:si>
    <x:t xml:space="preserve">PA-037</x:t>
  </x:si>
  <x:si>
    <x:t xml:space="preserve">PA-038</x:t>
  </x:si>
  <x:si>
    <x:t xml:space="preserve">PA-039</x:t>
  </x:si>
  <x:si>
    <x:t xml:space="preserve">PA-040</x:t>
  </x:si>
  <x:si>
    <x:t xml:space="preserve">PA-041</x:t>
  </x:si>
  <x:si>
    <x:t xml:space="preserve">PA-042</x:t>
  </x:si>
  <x:si>
    <x:t xml:space="preserve">PA-043</x:t>
  </x:si>
  <x:si>
    <x:t xml:space="preserve">PA-044</x:t>
  </x:si>
  <x:si>
    <x:t xml:space="preserve">PA-045</x:t>
  </x:si>
  <x:si>
    <x:t xml:space="preserve">PA-046</x:t>
  </x:si>
  <x:si>
    <x:t xml:space="preserve">PA-047</x:t>
  </x:si>
  <x:si>
    <x:t xml:space="preserve">PA-048</x:t>
  </x:si>
  <x:si>
    <x:t xml:space="preserve">PA-049</x:t>
  </x:si>
  <x:si>
    <x:t xml:space="preserve">PA-050</x:t>
  </x:si>
</x:sst>
</file>

<file path=xl/styles.xml><?xml version="1.0" encoding="utf-8"?>
<x:styleSheet xmlns:x="http://schemas.openxmlformats.org/spreadsheetml/2006/main">
  <x:numFmts count="6">
    <x:numFmt numFmtId="164" formatCode="#,##0.0"/>
    <x:numFmt numFmtId="165" formatCode="0.0&quot;%&quot;"/>
    <x:numFmt numFmtId="200" formatCode="0.0%"/>
    <x:numFmt numFmtId="201" formatCode="yyyy-mm-dd"/>
    <x:numFmt numFmtId="202" formatCode="$#,##0"/>
    <x:numFmt numFmtId="203" formatCode="0.0"/>
  </x:numFmts>
  <x:fonts count="43">
    <x:font>
      <x:sz val="11"/>
      <x:name val="Arial"/>
      <x:scheme val="minor"/>
    </x:font>
    <x:font>
      <x:b/>
      <x:sz val="16"/>
      <x:color rgb="FFFFFFFF"/>
      <x:name val="Arial"/>
    </x:font>
    <x:font/>
    <x:font>
      <x:b/>
      <x:sz val="11"/>
      <x:color rgb="FFFFFFFF"/>
      <x:name val="Arial"/>
    </x:font>
    <x:font>
      <x:b/>
      <x:sz val="10"/>
      <x:color rgb="FF1F3864"/>
      <x:name val="Arial"/>
    </x:font>
    <x:font>
      <x:b/>
      <x:sz val="10"/>
      <x:color rgb="FF1F4E79"/>
      <x:name val="Arial"/>
    </x:font>
    <x:font>
      <x:sz val="10"/>
      <x:color rgb="FF444444"/>
      <x:name val="Arial"/>
    </x:font>
    <x:font>
      <x:i/>
      <x:sz val="9"/>
      <x:color rgb="FF444444"/>
      <x:name val="Arial"/>
    </x:font>
    <x:font>
      <x:b/>
      <x:sz val="13"/>
      <x:color rgb="FFFFFFFF"/>
      <x:name val="Arial"/>
    </x:font>
    <x:font>
      <x:b/>
      <x:color rgb="FFFFFFFF"/>
    </x:font>
    <x:font>
      <x:b/>
      <x:sz val="9"/>
      <x:color rgb="FFFFFFFF"/>
      <x:name val="Arial"/>
    </x:font>
    <x:font>
      <x:b/>
      <x:sz val="8"/>
      <x:color rgb="FF1F4E79"/>
      <x:name val="Arial"/>
    </x:font>
    <x:font>
      <x:sz val="9"/>
      <x:color rgb="FF000000"/>
      <x:name val="Arial"/>
    </x:font>
    <x:font>
      <x:sz val="9"/>
      <x:color rgb="FF555555"/>
      <x:name val="Arial"/>
    </x:font>
    <x:font>
      <x:sz val="9"/>
      <x:color rgb="FF0000FF"/>
      <x:name val="Arial"/>
    </x:font>
    <x:font>
      <x:b/>
      <x:sz val="9"/>
      <x:color rgb="FF000000"/>
      <x:name val="Arial"/>
    </x:font>
    <x:font>
      <x:b/>
      <x:sz val="9"/>
    </x:font>
    <x:font>
      <x:b/>
      <x:sz val="8"/>
      <x:color rgb="FF1A5E35"/>
      <x:name val="Arial"/>
    </x:font>
    <x:font>
      <x:b/>
      <x:sz val="8"/>
      <x:color rgb="FF7B3F00"/>
      <x:name val="Arial"/>
    </x:font>
    <x:font>
      <x:b/>
      <x:sz val="8"/>
      <x:color rgb="FF4B0082"/>
      <x:name val="Arial"/>
    </x:font>
    <x:font>
      <x:b/>
      <x:sz val="10"/>
      <x:color rgb="FFFFFFFF"/>
      <x:name val="Arial"/>
    </x:font>
    <x:font>
      <x:b/>
      <x:sz val="10"/>
      <x:color rgb="FF5C4000"/>
      <x:name val="Arial"/>
    </x:font>
    <x:font>
      <x:b/>
      <x:sz val="9"/>
      <x:color rgb="FF1F4E79"/>
      <x:name val="Arial"/>
    </x:font>
    <x:font>
      <x:b/>
      <x:sz val="10"/>
      <x:color rgb="FF000000"/>
      <x:name val="Arial"/>
    </x:font>
    <x:font>
      <x:i/>
      <x:sz val="8"/>
      <x:color rgb="FF333333"/>
      <x:name val="Arial"/>
    </x:font>
    <x:font>
      <x:i/>
      <x:sz val="8"/>
      <x:color rgb="FF777777"/>
      <x:name val="Arial"/>
    </x:font>
    <x:font>
      <x:b/>
      <x:sz val="9"/>
      <x:color rgb="FF1A5E35"/>
      <x:name val="Arial"/>
    </x:font>
    <x:font>
      <x:b/>
      <x:sz val="9"/>
      <x:color rgb="FF7B3F00"/>
      <x:name val="Arial"/>
    </x:font>
    <x:font>
      <x:b/>
      <x:sz val="9"/>
      <x:color rgb="FF4B0082"/>
      <x:name val="Arial"/>
    </x:font>
    <x:font>
      <x:b/>
      <x:sz val="16"/>
      <x:color rgb="FFFFFFFF"/>
    </x:font>
    <x:font>
      <x:b/>
      <x:color rgb="FF17365D"/>
    </x:font>
    <x:font>
      <x:b/>
      <x:sz val="14"/>
    </x:font>
    <x:font>
      <x:sz val="11"/>
      <x:name val="Calibri"/>
    </x:font>
    <x:font>
      <x:b/>
      <x:sz val="12"/>
      <x:color rgb="FF17365D"/>
    </x:font>
    <x:font>
      <x:b/>
      <x:sz val="15"/>
      <x:color rgb="FFFFFFFF"/>
    </x:font>
    <x:font>
      <x:b/>
      <x:sz val="10"/>
      <x:color rgb="FFFFFFFF"/>
      <x:name val="Arial"/>
      <x:scheme val="minor"/>
    </x:font>
    <x:font>
      <x:sz val="9"/>
      <x:color rgb="FF1F2937"/>
      <x:name val="Arial"/>
      <x:scheme val="minor"/>
    </x:font>
    <x:font>
      <x:sz val="9"/>
      <x:color rgb="FF1F4E79"/>
      <x:name val="Arial"/>
      <x:scheme val="minor"/>
    </x:font>
    <x:font>
      <x:b/>
      <x:sz val="10"/>
      <x:color rgb="FF17365D"/>
      <x:name val="Arial"/>
      <x:scheme val="minor"/>
    </x:font>
    <x:font>
      <x:b/>
      <x:sz val="9"/>
      <x:color rgb="FF7F6000"/>
      <x:name val="Arial"/>
      <x:scheme val="minor"/>
    </x:font>
    <x:font>
      <x:sz val="9"/>
      <x:color rgb="FF404040"/>
      <x:name val="Arial"/>
      <x:scheme val="minor"/>
    </x:font>
    <x:font>
      <x:i/>
      <x:sz val="9"/>
      <x:color rgb="FF7F6000"/>
      <x:name val="Arial"/>
      <x:scheme val="minor"/>
    </x:font>
    <x:font>
      <x:sz val="10"/>
      <x:color rgb="FF1F2937"/>
      <x:name val="Arial"/>
    </x:font>
  </x:fonts>
  <x:fills count="32">
    <x:fill>
      <x:patternFill patternType="none"/>
    </x:fill>
    <x:fill>
      <x:patternFill patternType="lightGray"/>
    </x:fill>
    <x:fill>
      <x:patternFill patternType="solid">
        <x:fgColor rgb="FF1F3864"/>
      </x:patternFill>
    </x:fill>
    <x:fill>
      <x:patternFill patternType="solid">
        <x:fgColor rgb="FF2F75B6"/>
      </x:patternFill>
    </x:fill>
    <x:fill>
      <x:patternFill patternType="solid">
        <x:fgColor rgb="FF17365D"/>
      </x:patternFill>
    </x:fill>
    <x:fill>
      <x:patternFill patternType="solid">
        <x:fgColor rgb="FF1F4E79"/>
      </x:patternFill>
    </x:fill>
    <x:fill>
      <x:patternFill patternType="solid">
        <x:fgColor rgb="FFD6E4F0"/>
      </x:patternFill>
    </x:fill>
    <x:fill>
      <x:patternFill patternType="solid">
        <x:fgColor rgb="FFEBF3FA"/>
      </x:patternFill>
    </x:fill>
    <x:fill>
      <x:patternFill patternType="solid">
        <x:fgColor rgb="FF1A5E35"/>
      </x:patternFill>
    </x:fill>
    <x:fill>
      <x:patternFill patternType="solid">
        <x:fgColor rgb="FFD5EDDC"/>
      </x:patternFill>
    </x:fill>
    <x:fill>
      <x:patternFill patternType="solid">
        <x:fgColor rgb="FFEAF6EE"/>
      </x:patternFill>
    </x:fill>
    <x:fill>
      <x:patternFill patternType="solid">
        <x:fgColor rgb="FF7B3F00"/>
      </x:patternFill>
    </x:fill>
    <x:fill>
      <x:patternFill patternType="solid">
        <x:fgColor rgb="FFFAE6CC"/>
      </x:patternFill>
    </x:fill>
    <x:fill>
      <x:patternFill patternType="solid">
        <x:fgColor rgb="FFFDF3E5"/>
      </x:patternFill>
    </x:fill>
    <x:fill>
      <x:patternFill patternType="solid">
        <x:fgColor rgb="FF4B0082"/>
      </x:patternFill>
    </x:fill>
    <x:fill>
      <x:patternFill patternType="solid">
        <x:fgColor rgb="FFE8DAFF"/>
      </x:patternFill>
    </x:fill>
    <x:fill>
      <x:patternFill patternType="solid">
        <x:fgColor rgb="FFF4EEFF"/>
      </x:patternFill>
    </x:fill>
    <x:fill>
      <x:patternFill patternType="solid">
        <x:fgColor rgb="FFFFEB9C"/>
      </x:patternFill>
    </x:fill>
    <x:fill>
      <x:patternFill patternType="solid">
        <x:fgColor rgb="FFEAF3F8"/>
      </x:patternFill>
    </x:fill>
    <x:fill>
      <x:patternFill patternType="solid">
        <x:fgColor rgb="FFC6EFCE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  <x:fill>
      <x:patternFill patternType="solid">
        <x:fgColor rgb="FFE6B8B7"/>
      </x:patternFill>
    </x:fill>
    <x:fill>
      <x:patternFill patternType="solid">
        <x:fgColor rgb="FFE7E6E6"/>
      </x:patternFill>
    </x:fill>
    <x:fill>
      <x:patternFill patternType="solid">
        <x:fgColor rgb="FF17365D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F2F2F2"/>
      </x:patternFill>
    </x:fill>
  </x:fills>
  <x:borders count="29">
    <x:border/>
    <x:border>
      <x:left style="thin">
        <x:color rgb="FF777777"/>
      </x:left>
      <x:top style="thin">
        <x:color rgb="FF777777"/>
      </x:top>
      <x:bottom style="thin">
        <x:color rgb="FF777777"/>
      </x:bottom>
    </x:border>
    <x:border>
      <x:right/>
      <x:top style="thin">
        <x:color rgb="FF777777"/>
      </x:top>
      <x:bottom style="thin">
        <x:color rgb="FF777777"/>
      </x:bottom>
    </x:border>
    <x:border>
      <x:top style="thin">
        <x:color rgb="FF777777"/>
      </x:top>
      <x:bottom style="thin">
        <x:color rgb="FF777777"/>
      </x:bottom>
    </x:border>
    <x:border>
      <x:left style="thin">
        <x:color rgb="FF555555"/>
      </x:left>
      <x:right style="thin">
        <x:color rgb="FF555555"/>
      </x:right>
      <x:top style="thin">
        <x:color rgb="FF555555"/>
      </x:top>
      <x:bottom style="thin">
        <x:color rgb="FF555555"/>
      </x:bottom>
    </x:border>
    <x:border>
      <x:left style="thin">
        <x:color rgb="FF555555"/>
      </x:left>
      <x:right style="thin">
        <x:color rgb="FF555555"/>
      </x:right>
      <x:top style="thin">
        <x:color rgb="FF555555"/>
      </x:top>
    </x:border>
    <x:border>
      <x:left style="thin">
        <x:color rgb="FF999999"/>
      </x:left>
      <x:right style="thin">
        <x:color rgb="FF999999"/>
      </x:right>
      <x:top style="thin">
        <x:color rgb="FF999999"/>
      </x:top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  <x:border>
      <x:left style="thin">
        <x:color rgb="FF555555"/>
      </x:left>
      <x:right style="thin">
        <x:color rgb="FF555555"/>
      </x:right>
    </x:border>
    <x:border>
      <x:left style="thin">
        <x:color rgb="FF999999"/>
      </x:left>
      <x:right style="thin">
        <x:color rgb="FF999999"/>
      </x:right>
    </x:border>
    <x:border>
      <x:left style="thin">
        <x:color rgb="FF999999"/>
      </x:left>
      <x:right style="thin">
        <x:color rgb="FF999999"/>
      </x:right>
      <x:bottom/>
    </x:border>
    <x:border>
      <x:left style="thin">
        <x:color rgb="FF555555"/>
      </x:left>
      <x:right style="thin">
        <x:color rgb="FF555555"/>
      </x:right>
      <x:bottom/>
    </x:border>
    <x:border>
      <x:left style="thin">
        <x:color rgb="FF444444"/>
      </x:left>
      <x:top style="thin">
        <x:color rgb="FF444444"/>
      </x:top>
      <x:bottom style="thin">
        <x:color rgb="FF444444"/>
      </x:bottom>
    </x:border>
    <x:border>
      <x:top style="thin">
        <x:color rgb="FF444444"/>
      </x:top>
      <x:bottom style="thin">
        <x:color rgb="FF444444"/>
      </x:bottom>
    </x:border>
    <x:border>
      <x:right/>
      <x:top style="thin">
        <x:color rgb="FF444444"/>
      </x:top>
      <x:bottom style="thin">
        <x:color rgb="FF444444"/>
      </x:bottom>
    </x:border>
    <x:border>
      <x:left style="thin">
        <x:color rgb="FF999999"/>
      </x:left>
      <x:top style="thin">
        <x:color rgb="FF999999"/>
      </x:top>
      <x:bottom style="thin">
        <x:color rgb="FF999999"/>
      </x:bottom>
    </x:border>
    <x:border>
      <x:right/>
      <x:top style="thin">
        <x:color rgb="FF999999"/>
      </x:top>
      <x:bottom style="thin">
        <x:color rgb="FF999999"/>
      </x:bottom>
    </x:border>
    <x:border>
      <x:left style="thin">
        <x:color rgb="FF444444"/>
      </x:left>
      <x:right style="thin">
        <x:color rgb="FF444444"/>
      </x:right>
      <x:top style="thin">
        <x:color rgb="FF444444"/>
      </x:top>
      <x:bottom style="thin">
        <x:color rgb="FF444444"/>
      </x:bottom>
    </x:border>
    <x:border>
      <x:left style="thin">
        <x:color rgb="FF888888"/>
      </x:left>
      <x:right style="thin">
        <x:color rgb="FF888888"/>
      </x:right>
      <x:top style="thin">
        <x:color rgb="FF888888"/>
      </x:top>
    </x:border>
    <x:border>
      <x:left style="thin">
        <x:color rgb="FF888888"/>
      </x:left>
      <x:right style="thin">
        <x:color rgb="FF888888"/>
      </x:right>
    </x:border>
    <x:border>
      <x:left style="thin">
        <x:color rgb="FF888888"/>
      </x:left>
      <x:right style="thin">
        <x:color rgb="FF888888"/>
      </x:right>
      <x:bottom/>
    </x:border>
    <x:border>
      <x:left/>
      <x:right/>
      <x:top/>
      <x:bottom/>
    </x:border>
    <x:border>
      <x:bottom style="thin">
        <x:color rgb="FFD9E1F2"/>
      </x:bottom>
    </x:border>
    <x:border>
      <x:left/>
      <x:top/>
      <x:bottom/>
    </x:border>
    <x:border>
      <x:top/>
      <x:bottom/>
    </x:border>
    <x:border>
      <x:right/>
      <x:top/>
      <x:bottom/>
    </x:border>
    <x:border>
      <x:bottom/>
    </x:border>
    <x:border>
      <x:right/>
      <x:bottom/>
    </x:border>
    <x:border>
      <x:bottom style="hair">
        <x:color rgb="FFD9E1F2"/>
      </x:bottom>
    </x:border>
  </x:borders>
  <x:cellStyleXfs count="1">
    <x:xf numFmtId="0" fontId="0" fillId="0" borderId="0" applyFont="1" applyAlignment="1"/>
  </x:cellStyleXfs>
  <x:cellXfs count="185">
    <x:xf numFmtId="0" fontId="0" fillId="0" borderId="0" xfId="0" applyFont="1" applyAlignment="1">
      <x:alignment vertical="bottom" wrapText="0" shrinkToFit="0"/>
    </x:xf>
    <x:xf numFmtId="0" fontId="1" fillId="2" borderId="1" xfId="0" applyFont="1" applyFill="1" applyBorder="1" applyAlignment="1">
      <x:alignment horizontal="center" vertical="center" wrapText="1" shrinkToFit="0"/>
    </x:xf>
    <x:xf numFmtId="0" fontId="2" fillId="0" borderId="2" xfId="0" applyFont="1" applyBorder="1"/>
    <x:xf numFmtId="0" fontId="3" fillId="3" borderId="1" xfId="0" applyFont="1" applyFill="1" applyBorder="1" applyAlignment="1">
      <x:alignment horizontal="center" vertical="center" wrapText="1" shrinkToFit="0"/>
    </x:xf>
    <x:xf numFmtId="0" fontId="4" fillId="0" borderId="0" xfId="0" applyFont="1" applyAlignment="1">
      <x:alignment horizontal="left" vertical="center"/>
    </x:xf>
    <x:xf numFmtId="0" fontId="5" fillId="0" borderId="0" xfId="0" applyFont="1"/>
    <x:xf numFmtId="0" fontId="6" fillId="0" borderId="0" xfId="0" applyFont="1"/>
    <x:xf numFmtId="0" fontId="4" fillId="0" borderId="0" xfId="0" applyFont="1"/>
    <x:xf numFmtId="0" fontId="7" fillId="0" borderId="0" xfId="0" applyFont="1"/>
    <x:xf numFmtId="0" fontId="8" fillId="2" borderId="1" xfId="0" applyFont="1" applyFill="1" applyBorder="1" applyAlignment="1">
      <x:alignment horizontal="center" vertical="center" wrapText="1" shrinkToFit="0"/>
    </x:xf>
    <x:xf numFmtId="0" fontId="2" fillId="0" borderId="3" xfId="0" applyFont="1" applyBorder="1"/>
    <x:xf numFmtId="0" fontId="9" fillId="4" borderId="4" xfId="0" applyFont="1" applyFill="1" applyBorder="1" applyAlignment="1">
      <x:alignment vertical="center" wrapText="1" shrinkToFit="0"/>
    </x:xf>
    <x:xf numFmtId="0" fontId="10" fillId="5" borderId="5" xfId="0" applyFont="1" applyFill="1" applyBorder="1" applyAlignment="1">
      <x:alignment horizontal="center" vertical="center" wrapText="1" shrinkToFit="0"/>
    </x:xf>
    <x:xf numFmtId="0" fontId="11" fillId="6" borderId="6" xfId="0" applyFont="1" applyFill="1" applyBorder="1" applyAlignment="1">
      <x:alignment horizontal="center" vertical="center" wrapText="1" shrinkToFit="0"/>
    </x:xf>
    <x:xf numFmtId="0" fontId="12" fillId="6" borderId="7" xfId="0" applyFont="1" applyFill="1" applyBorder="1" applyAlignment="1">
      <x:alignment horizontal="left" vertical="center" wrapText="1" shrinkToFit="0"/>
    </x:xf>
    <x:xf numFmtId="0" fontId="13" fillId="6" borderId="7" xfId="0" applyFont="1" applyFill="1" applyBorder="1" applyAlignment="1">
      <x:alignment horizontal="center" vertical="center"/>
    </x:xf>
    <x:xf numFmtId="164" fontId="14" fillId="6" borderId="7" xfId="0" applyNumberFormat="1" applyFont="1" applyFill="1" applyBorder="1" applyAlignment="1">
      <x:alignment horizontal="center" vertical="center"/>
    </x:xf>
    <x:xf numFmtId="165" fontId="15" fillId="6" borderId="7" xfId="0" applyNumberFormat="1" applyFont="1" applyFill="1" applyBorder="1" applyAlignment="1">
      <x:alignment horizontal="center" vertical="center"/>
    </x:xf>
    <x:xf numFmtId="0" fontId="16" fillId="6" borderId="7" xfId="0" applyFont="1" applyFill="1" applyBorder="1" applyAlignment="1">
      <x:alignment vertical="center" wrapText="1" shrinkToFit="0"/>
    </x:xf>
    <x:xf numFmtId="0" fontId="2" fillId="0" borderId="8" xfId="0" applyFont="1" applyBorder="1"/>
    <x:xf numFmtId="0" fontId="2" fillId="0" borderId="9" xfId="0" applyFont="1" applyBorder="1"/>
    <x:xf numFmtId="0" fontId="2" fillId="0" borderId="10" xfId="0" applyFont="1" applyBorder="1"/>
    <x:xf numFmtId="164" fontId="14" fillId="6" borderId="7" xfId="0" applyNumberFormat="1" applyFont="1" applyFill="1" applyBorder="1" applyAlignment="1">
      <x:alignment horizontal="center" vertical="center"/>
    </x:xf>
    <x:xf numFmtId="0" fontId="11" fillId="7" borderId="6" xfId="0" applyFont="1" applyFill="1" applyBorder="1" applyAlignment="1">
      <x:alignment horizontal="center" vertical="center" wrapText="1" shrinkToFit="0"/>
    </x:xf>
    <x:xf numFmtId="0" fontId="12" fillId="7" borderId="7" xfId="0" applyFont="1" applyFill="1" applyBorder="1" applyAlignment="1">
      <x:alignment horizontal="left" vertical="center" wrapText="1" shrinkToFit="0"/>
    </x:xf>
    <x:xf numFmtId="0" fontId="13" fillId="7" borderId="7" xfId="0" applyFont="1" applyFill="1" applyBorder="1" applyAlignment="1">
      <x:alignment horizontal="center" vertical="center"/>
    </x:xf>
    <x:xf numFmtId="164" fontId="14" fillId="7" borderId="7" xfId="0" applyNumberFormat="1" applyFont="1" applyFill="1" applyBorder="1" applyAlignment="1">
      <x:alignment horizontal="center" vertical="center"/>
    </x:xf>
    <x:xf numFmtId="165" fontId="15" fillId="7" borderId="7" xfId="0" applyNumberFormat="1" applyFont="1" applyFill="1" applyBorder="1" applyAlignment="1">
      <x:alignment horizontal="center" vertical="center"/>
    </x:xf>
    <x:xf numFmtId="0" fontId="16" fillId="7" borderId="7" xfId="0" applyFont="1" applyFill="1" applyBorder="1" applyAlignment="1">
      <x:alignment vertical="center" wrapText="1" shrinkToFit="0"/>
    </x:xf>
    <x:xf numFmtId="164" fontId="14" fillId="7" borderId="7" xfId="0" applyNumberFormat="1" applyFont="1" applyFill="1" applyBorder="1" applyAlignment="1">
      <x:alignment horizontal="center" vertical="center"/>
    </x:xf>
    <x:xf numFmtId="0" fontId="2" fillId="0" borderId="11" xfId="0" applyFont="1" applyBorder="1"/>
    <x:xf numFmtId="0" fontId="10" fillId="8" borderId="5" xfId="0" applyFont="1" applyFill="1" applyBorder="1" applyAlignment="1">
      <x:alignment horizontal="center" vertical="center" wrapText="1" shrinkToFit="0"/>
    </x:xf>
    <x:xf numFmtId="0" fontId="17" fillId="9" borderId="6" xfId="0" applyFont="1" applyFill="1" applyBorder="1" applyAlignment="1">
      <x:alignment horizontal="center" vertical="center" wrapText="1" shrinkToFit="0"/>
    </x:xf>
    <x:xf numFmtId="0" fontId="12" fillId="9" borderId="7" xfId="0" applyFont="1" applyFill="1" applyBorder="1" applyAlignment="1">
      <x:alignment horizontal="left" vertical="center" wrapText="1" shrinkToFit="0"/>
    </x:xf>
    <x:xf numFmtId="0" fontId="13" fillId="9" borderId="7" xfId="0" applyFont="1" applyFill="1" applyBorder="1" applyAlignment="1">
      <x:alignment horizontal="center" vertical="center"/>
    </x:xf>
    <x:xf numFmtId="164" fontId="14" fillId="9" borderId="7" xfId="0" applyNumberFormat="1" applyFont="1" applyFill="1" applyBorder="1" applyAlignment="1">
      <x:alignment horizontal="center" vertical="center"/>
    </x:xf>
    <x:xf numFmtId="165" fontId="15" fillId="9" borderId="7" xfId="0" applyNumberFormat="1" applyFont="1" applyFill="1" applyBorder="1" applyAlignment="1">
      <x:alignment horizontal="center" vertical="center"/>
    </x:xf>
    <x:xf numFmtId="0" fontId="16" fillId="9" borderId="7" xfId="0" applyFont="1" applyFill="1" applyBorder="1" applyAlignment="1">
      <x:alignment vertical="center" wrapText="1" shrinkToFit="0"/>
    </x:xf>
    <x:xf numFmtId="0" fontId="17" fillId="10" borderId="6" xfId="0" applyFont="1" applyFill="1" applyBorder="1" applyAlignment="1">
      <x:alignment horizontal="center" vertical="center" wrapText="1" shrinkToFit="0"/>
    </x:xf>
    <x:xf numFmtId="0" fontId="12" fillId="10" borderId="7" xfId="0" applyFont="1" applyFill="1" applyBorder="1" applyAlignment="1">
      <x:alignment horizontal="left" vertical="center" wrapText="1" shrinkToFit="0"/>
    </x:xf>
    <x:xf numFmtId="0" fontId="13" fillId="10" borderId="7" xfId="0" applyFont="1" applyFill="1" applyBorder="1" applyAlignment="1">
      <x:alignment horizontal="center" vertical="center"/>
    </x:xf>
    <x:xf numFmtId="164" fontId="14" fillId="10" borderId="7" xfId="0" applyNumberFormat="1" applyFont="1" applyFill="1" applyBorder="1" applyAlignment="1">
      <x:alignment horizontal="center" vertical="center"/>
    </x:xf>
    <x:xf numFmtId="165" fontId="15" fillId="10" borderId="7" xfId="0" applyNumberFormat="1" applyFont="1" applyFill="1" applyBorder="1" applyAlignment="1">
      <x:alignment horizontal="center" vertical="center"/>
    </x:xf>
    <x:xf numFmtId="0" fontId="16" fillId="10" borderId="7" xfId="0" applyFont="1" applyFill="1" applyBorder="1" applyAlignment="1">
      <x:alignment vertical="center" wrapText="1" shrinkToFit="0"/>
    </x:xf>
    <x:xf numFmtId="0" fontId="10" fillId="11" borderId="5" xfId="0" applyFont="1" applyFill="1" applyBorder="1" applyAlignment="1">
      <x:alignment horizontal="center" vertical="center" wrapText="1" shrinkToFit="0"/>
    </x:xf>
    <x:xf numFmtId="0" fontId="18" fillId="12" borderId="6" xfId="0" applyFont="1" applyFill="1" applyBorder="1" applyAlignment="1">
      <x:alignment horizontal="center" vertical="center" wrapText="1" shrinkToFit="0"/>
    </x:xf>
    <x:xf numFmtId="0" fontId="12" fillId="12" borderId="7" xfId="0" applyFont="1" applyFill="1" applyBorder="1" applyAlignment="1">
      <x:alignment horizontal="left" vertical="center" wrapText="1" shrinkToFit="0"/>
    </x:xf>
    <x:xf numFmtId="0" fontId="13" fillId="12" borderId="7" xfId="0" applyFont="1" applyFill="1" applyBorder="1" applyAlignment="1">
      <x:alignment horizontal="center" vertical="center"/>
    </x:xf>
    <x:xf numFmtId="164" fontId="14" fillId="12" borderId="7" xfId="0" applyNumberFormat="1" applyFont="1" applyFill="1" applyBorder="1" applyAlignment="1">
      <x:alignment horizontal="center" vertical="center"/>
    </x:xf>
    <x:xf numFmtId="165" fontId="15" fillId="12" borderId="7" xfId="0" applyNumberFormat="1" applyFont="1" applyFill="1" applyBorder="1" applyAlignment="1">
      <x:alignment horizontal="center" vertical="center"/>
    </x:xf>
    <x:xf numFmtId="0" fontId="16" fillId="12" borderId="7" xfId="0" applyFont="1" applyFill="1" applyBorder="1" applyAlignment="1">
      <x:alignment vertical="center" wrapText="1" shrinkToFit="0"/>
    </x:xf>
    <x:xf numFmtId="0" fontId="18" fillId="13" borderId="6" xfId="0" applyFont="1" applyFill="1" applyBorder="1" applyAlignment="1">
      <x:alignment horizontal="center" vertical="center" wrapText="1" shrinkToFit="0"/>
    </x:xf>
    <x:xf numFmtId="0" fontId="12" fillId="13" borderId="7" xfId="0" applyFont="1" applyFill="1" applyBorder="1" applyAlignment="1">
      <x:alignment horizontal="left" vertical="center" wrapText="1" shrinkToFit="0"/>
    </x:xf>
    <x:xf numFmtId="0" fontId="13" fillId="13" borderId="7" xfId="0" applyFont="1" applyFill="1" applyBorder="1" applyAlignment="1">
      <x:alignment horizontal="center" vertical="center"/>
    </x:xf>
    <x:xf numFmtId="164" fontId="14" fillId="13" borderId="7" xfId="0" applyNumberFormat="1" applyFont="1" applyFill="1" applyBorder="1" applyAlignment="1">
      <x:alignment horizontal="center" vertical="center"/>
    </x:xf>
    <x:xf numFmtId="165" fontId="15" fillId="13" borderId="7" xfId="0" applyNumberFormat="1" applyFont="1" applyFill="1" applyBorder="1" applyAlignment="1">
      <x:alignment horizontal="center" vertical="center"/>
    </x:xf>
    <x:xf numFmtId="0" fontId="16" fillId="13" borderId="7" xfId="0" applyFont="1" applyFill="1" applyBorder="1" applyAlignment="1">
      <x:alignment vertical="center" wrapText="1" shrinkToFit="0"/>
    </x:xf>
    <x:xf numFmtId="0" fontId="10" fillId="14" borderId="5" xfId="0" applyFont="1" applyFill="1" applyBorder="1" applyAlignment="1">
      <x:alignment horizontal="center" vertical="center" wrapText="1" shrinkToFit="0"/>
    </x:xf>
    <x:xf numFmtId="0" fontId="19" fillId="15" borderId="6" xfId="0" applyFont="1" applyFill="1" applyBorder="1" applyAlignment="1">
      <x:alignment horizontal="center" vertical="center" wrapText="1" shrinkToFit="0"/>
    </x:xf>
    <x:xf numFmtId="0" fontId="12" fillId="15" borderId="7" xfId="0" applyFont="1" applyFill="1" applyBorder="1" applyAlignment="1">
      <x:alignment horizontal="left" vertical="center" wrapText="1" shrinkToFit="0"/>
    </x:xf>
    <x:xf numFmtId="0" fontId="13" fillId="15" borderId="7" xfId="0" applyFont="1" applyFill="1" applyBorder="1" applyAlignment="1">
      <x:alignment horizontal="center" vertical="center"/>
    </x:xf>
    <x:xf numFmtId="164" fontId="14" fillId="15" borderId="7" xfId="0" applyNumberFormat="1" applyFont="1" applyFill="1" applyBorder="1" applyAlignment="1">
      <x:alignment horizontal="center" vertical="center"/>
    </x:xf>
    <x:xf numFmtId="165" fontId="15" fillId="15" borderId="7" xfId="0" applyNumberFormat="1" applyFont="1" applyFill="1" applyBorder="1" applyAlignment="1">
      <x:alignment horizontal="center" vertical="center"/>
    </x:xf>
    <x:xf numFmtId="0" fontId="16" fillId="15" borderId="7" xfId="0" applyFont="1" applyFill="1" applyBorder="1" applyAlignment="1">
      <x:alignment vertical="center" wrapText="1" shrinkToFit="0"/>
    </x:xf>
    <x:xf numFmtId="0" fontId="19" fillId="16" borderId="6" xfId="0" applyFont="1" applyFill="1" applyBorder="1" applyAlignment="1">
      <x:alignment horizontal="center" vertical="center" wrapText="1" shrinkToFit="0"/>
    </x:xf>
    <x:xf numFmtId="0" fontId="12" fillId="16" borderId="7" xfId="0" applyFont="1" applyFill="1" applyBorder="1" applyAlignment="1">
      <x:alignment horizontal="left" vertical="center" wrapText="1" shrinkToFit="0"/>
    </x:xf>
    <x:xf numFmtId="0" fontId="13" fillId="16" borderId="7" xfId="0" applyFont="1" applyFill="1" applyBorder="1" applyAlignment="1">
      <x:alignment horizontal="center" vertical="center"/>
    </x:xf>
    <x:xf numFmtId="164" fontId="14" fillId="16" borderId="7" xfId="0" applyNumberFormat="1" applyFont="1" applyFill="1" applyBorder="1" applyAlignment="1">
      <x:alignment horizontal="center" vertical="center"/>
    </x:xf>
    <x:xf numFmtId="165" fontId="15" fillId="16" borderId="7" xfId="0" applyNumberFormat="1" applyFont="1" applyFill="1" applyBorder="1" applyAlignment="1">
      <x:alignment horizontal="center" vertical="center"/>
    </x:xf>
    <x:xf numFmtId="0" fontId="16" fillId="16" borderId="7" xfId="0" applyFont="1" applyFill="1" applyBorder="1" applyAlignment="1">
      <x:alignment vertical="center" wrapText="1" shrinkToFit="0"/>
    </x:xf>
    <x:xf numFmtId="0" fontId="20" fillId="2" borderId="12" xfId="0" applyFont="1" applyFill="1" applyBorder="1" applyAlignment="1">
      <x:alignment horizontal="center" vertical="center"/>
    </x:xf>
    <x:xf numFmtId="0" fontId="2" fillId="0" borderId="13" xfId="0" applyFont="1" applyBorder="1"/>
    <x:xf numFmtId="0" fontId="2" fillId="0" borderId="14" xfId="0" applyFont="1" applyBorder="1"/>
    <x:xf numFmtId="0" fontId="21" fillId="17" borderId="15" xfId="0" applyFont="1" applyFill="1" applyBorder="1" applyAlignment="1">
      <x:alignment horizontal="center" vertical="center"/>
    </x:xf>
    <x:xf numFmtId="0" fontId="2" fillId="0" borderId="16" xfId="0" applyFont="1" applyBorder="1"/>
    <x:xf numFmtId="0" fontId="8" fillId="5" borderId="1" xfId="0" applyFont="1" applyFill="1" applyBorder="1" applyAlignment="1">
      <x:alignment horizontal="center" vertical="center" wrapText="1" shrinkToFit="0"/>
    </x:xf>
    <x:xf numFmtId="0" fontId="9" fillId="4" borderId="17" xfId="0" applyFont="1" applyFill="1" applyBorder="1" applyAlignment="1">
      <x:alignment vertical="center" wrapText="1" shrinkToFit="0"/>
    </x:xf>
    <x:xf numFmtId="0" fontId="22" fillId="15" borderId="18" xfId="0" applyFont="1" applyFill="1" applyBorder="1" applyAlignment="1">
      <x:alignment horizontal="center" vertical="center" wrapText="1" shrinkToFit="0"/>
    </x:xf>
    <x:xf numFmtId="165" fontId="23" fillId="6" borderId="7" xfId="0" applyNumberFormat="1" applyFont="1" applyFill="1" applyBorder="1" applyAlignment="1">
      <x:alignment horizontal="center" vertical="center"/>
    </x:xf>
    <x:xf numFmtId="0" fontId="24" fillId="6" borderId="7" xfId="0" applyFont="1" applyFill="1" applyBorder="1" applyAlignment="1">
      <x:alignment horizontal="left" vertical="center" wrapText="1" shrinkToFit="0"/>
    </x:xf>
    <x:xf numFmtId="0" fontId="2" fillId="0" borderId="19" xfId="0" applyFont="1" applyBorder="1"/>
    <x:xf numFmtId="0" fontId="2" fillId="0" borderId="20" xfId="0" applyFont="1" applyBorder="1"/>
    <x:xf numFmtId="165" fontId="23" fillId="7" borderId="7" xfId="0" applyNumberFormat="1" applyFont="1" applyFill="1" applyBorder="1" applyAlignment="1">
      <x:alignment horizontal="center" vertical="center"/>
    </x:xf>
    <x:xf numFmtId="0" fontId="24" fillId="7" borderId="7" xfId="0" applyFont="1" applyFill="1" applyBorder="1" applyAlignment="1">
      <x:alignment horizontal="left" vertical="center" wrapText="1" shrinkToFit="0"/>
    </x:xf>
    <x:xf numFmtId="0" fontId="25" fillId="0" borderId="0" xfId="0" applyFont="1" applyAlignment="1">
      <x:alignment horizontal="left" vertical="center" wrapText="1" shrinkToFit="0"/>
    </x:xf>
    <x:xf numFmtId="0" fontId="8" fillId="8" borderId="1" xfId="0" applyFont="1" applyFill="1" applyBorder="1" applyAlignment="1">
      <x:alignment horizontal="center" vertical="center" wrapText="1" shrinkToFit="0"/>
    </x:xf>
    <x:xf numFmtId="0" fontId="26" fillId="15" borderId="18" xfId="0" applyFont="1" applyFill="1" applyBorder="1" applyAlignment="1">
      <x:alignment horizontal="center" vertical="center" wrapText="1" shrinkToFit="0"/>
    </x:xf>
    <x:xf numFmtId="165" fontId="23" fillId="9" borderId="7" xfId="0" applyNumberFormat="1" applyFont="1" applyFill="1" applyBorder="1" applyAlignment="1">
      <x:alignment horizontal="center" vertical="center"/>
    </x:xf>
    <x:xf numFmtId="0" fontId="24" fillId="9" borderId="7" xfId="0" applyFont="1" applyFill="1" applyBorder="1" applyAlignment="1">
      <x:alignment horizontal="left" vertical="center" wrapText="1" shrinkToFit="0"/>
    </x:xf>
    <x:xf numFmtId="165" fontId="23" fillId="10" borderId="7" xfId="0" applyNumberFormat="1" applyFont="1" applyFill="1" applyBorder="1" applyAlignment="1">
      <x:alignment horizontal="center" vertical="center"/>
    </x:xf>
    <x:xf numFmtId="0" fontId="24" fillId="10" borderId="7" xfId="0" applyFont="1" applyFill="1" applyBorder="1" applyAlignment="1">
      <x:alignment horizontal="left" vertical="center" wrapText="1" shrinkToFit="0"/>
    </x:xf>
    <x:xf numFmtId="0" fontId="8" fillId="11" borderId="1" xfId="0" applyFont="1" applyFill="1" applyBorder="1" applyAlignment="1">
      <x:alignment horizontal="center" vertical="center" wrapText="1" shrinkToFit="0"/>
    </x:xf>
    <x:xf numFmtId="0" fontId="27" fillId="15" borderId="18" xfId="0" applyFont="1" applyFill="1" applyBorder="1" applyAlignment="1">
      <x:alignment horizontal="center" vertical="center" wrapText="1" shrinkToFit="0"/>
    </x:xf>
    <x:xf numFmtId="165" fontId="23" fillId="12" borderId="7" xfId="0" applyNumberFormat="1" applyFont="1" applyFill="1" applyBorder="1" applyAlignment="1">
      <x:alignment horizontal="center" vertical="center"/>
    </x:xf>
    <x:xf numFmtId="0" fontId="24" fillId="12" borderId="7" xfId="0" applyFont="1" applyFill="1" applyBorder="1" applyAlignment="1">
      <x:alignment horizontal="left" vertical="center" wrapText="1" shrinkToFit="0"/>
    </x:xf>
    <x:xf numFmtId="165" fontId="23" fillId="13" borderId="7" xfId="0" applyNumberFormat="1" applyFont="1" applyFill="1" applyBorder="1" applyAlignment="1">
      <x:alignment horizontal="center" vertical="center"/>
    </x:xf>
    <x:xf numFmtId="0" fontId="24" fillId="13" borderId="7" xfId="0" applyFont="1" applyFill="1" applyBorder="1" applyAlignment="1">
      <x:alignment horizontal="left" vertical="center" wrapText="1" shrinkToFit="0"/>
    </x:xf>
    <x:xf numFmtId="0" fontId="8" fillId="14" borderId="1" xfId="0" applyFont="1" applyFill="1" applyBorder="1" applyAlignment="1">
      <x:alignment horizontal="center" vertical="center" wrapText="1" shrinkToFit="0"/>
    </x:xf>
    <x:xf numFmtId="0" fontId="28" fillId="15" borderId="18" xfId="0" applyFont="1" applyFill="1" applyBorder="1" applyAlignment="1">
      <x:alignment horizontal="center" vertical="center" wrapText="1" shrinkToFit="0"/>
    </x:xf>
    <x:xf numFmtId="165" fontId="23" fillId="15" borderId="7" xfId="0" applyNumberFormat="1" applyFont="1" applyFill="1" applyBorder="1" applyAlignment="1">
      <x:alignment horizontal="center" vertical="center"/>
    </x:xf>
    <x:xf numFmtId="0" fontId="24" fillId="15" borderId="7" xfId="0" applyFont="1" applyFill="1" applyBorder="1" applyAlignment="1">
      <x:alignment horizontal="left" vertical="center" wrapText="1" shrinkToFit="0"/>
    </x:xf>
    <x:xf numFmtId="165" fontId="23" fillId="16" borderId="7" xfId="0" applyNumberFormat="1" applyFont="1" applyFill="1" applyBorder="1" applyAlignment="1">
      <x:alignment horizontal="center" vertical="center"/>
    </x:xf>
    <x:xf numFmtId="0" fontId="24" fillId="16" borderId="7" xfId="0" applyFont="1" applyFill="1" applyBorder="1" applyAlignment="1">
      <x:alignment horizontal="left" vertical="center" wrapText="1" shrinkToFit="0"/>
    </x:xf>
    <x:xf numFmtId="0" fontId="29" fillId="4" borderId="21" xfId="0" applyFont="1" applyFill="1" applyBorder="1" applyAlignment="1">
      <x:alignment horizontal="center"/>
    </x:xf>
    <x:xf numFmtId="0" fontId="30" fillId="0" borderId="0" xfId="0" applyFont="1"/>
    <x:xf numFmtId="165" fontId="31" fillId="18" borderId="21" xfId="0" applyNumberFormat="1" applyFont="1" applyFill="1" applyBorder="1"/>
    <x:xf numFmtId="0" fontId="31" fillId="18" borderId="21" xfId="0" applyFont="1" applyFill="1" applyBorder="1"/>
    <x:xf numFmtId="0" fontId="9" fillId="4" borderId="21" xfId="0" applyFont="1" applyFill="1" applyBorder="1" applyAlignment="1">
      <x:alignment horizontal="center" wrapText="1" shrinkToFit="0"/>
    </x:xf>
    <x:xf numFmtId="0" fontId="32" fillId="0" borderId="22" xfId="0" applyFont="1" applyBorder="1"/>
    <x:xf numFmtId="165" fontId="32" fillId="0" borderId="22" xfId="0" applyNumberFormat="1" applyFont="1" applyBorder="1"/>
    <x:xf numFmtId="0" fontId="33" fillId="0" borderId="0" xfId="0" applyFont="1"/>
    <x:xf numFmtId="0" fontId="9" fillId="4" borderId="21" xfId="0" applyFont="1" applyFill="1" applyBorder="1" applyAlignment="1">
      <x:alignment wrapText="1" shrinkToFit="0"/>
    </x:xf>
    <x:xf numFmtId="0" fontId="32" fillId="0" borderId="22" xfId="0" applyFont="1" applyBorder="1" applyAlignment="1">
      <x:alignment vertical="center" wrapText="1" shrinkToFit="0"/>
    </x:xf>
    <x:xf numFmtId="164" fontId="32" fillId="0" borderId="22" xfId="0" applyNumberFormat="1" applyFont="1" applyBorder="1" applyAlignment="1">
      <x:alignment vertical="center" wrapText="1" shrinkToFit="0"/>
    </x:xf>
    <x:xf numFmtId="165" fontId="32" fillId="0" borderId="22" xfId="0" applyNumberFormat="1" applyFont="1" applyBorder="1" applyAlignment="1">
      <x:alignment vertical="center" wrapText="1" shrinkToFit="0"/>
    </x:xf>
    <x:xf numFmtId="0" fontId="2" fillId="0" borderId="22" xfId="0" applyFont="1" applyBorder="1"/>
    <x:xf numFmtId="0" fontId="32" fillId="19" borderId="21" xfId="0" applyFont="1" applyFill="1" applyBorder="1" applyAlignment="1">
      <x:alignment vertical="center" wrapText="1" shrinkToFit="0"/>
    </x:xf>
    <x:xf numFmtId="0" fontId="32" fillId="19" borderId="23" xfId="0" applyFont="1" applyFill="1" applyBorder="1" applyAlignment="1">
      <x:alignment vertical="center" wrapText="1" shrinkToFit="0"/>
    </x:xf>
    <x:xf numFmtId="0" fontId="2" fillId="0" borderId="24" xfId="0" applyFont="1" applyBorder="1"/>
    <x:xf numFmtId="0" fontId="2" fillId="0" borderId="25" xfId="0" applyFont="1" applyBorder="1"/>
    <x:xf numFmtId="0" fontId="32" fillId="20" borderId="21" xfId="0" applyFont="1" applyFill="1" applyBorder="1" applyAlignment="1">
      <x:alignment vertical="center" wrapText="1" shrinkToFit="0"/>
    </x:xf>
    <x:xf numFmtId="0" fontId="32" fillId="20" borderId="23" xfId="0" applyFont="1" applyFill="1" applyBorder="1" applyAlignment="1">
      <x:alignment vertical="center" wrapText="1" shrinkToFit="0"/>
    </x:xf>
    <x:xf numFmtId="0" fontId="32" fillId="21" borderId="21" xfId="0" applyFont="1" applyFill="1" applyBorder="1" applyAlignment="1">
      <x:alignment vertical="center" wrapText="1" shrinkToFit="0"/>
    </x:xf>
    <x:xf numFmtId="0" fontId="32" fillId="21" borderId="23" xfId="0" applyFont="1" applyFill="1" applyBorder="1" applyAlignment="1">
      <x:alignment vertical="center" wrapText="1" shrinkToFit="0"/>
    </x:xf>
    <x:xf numFmtId="0" fontId="32" fillId="22" borderId="21" xfId="0" applyFont="1" applyFill="1" applyBorder="1" applyAlignment="1">
      <x:alignment vertical="center" wrapText="1" shrinkToFit="0"/>
    </x:xf>
    <x:xf numFmtId="0" fontId="2" fillId="0" borderId="26" xfId="0" applyFont="1" applyBorder="1"/>
    <x:xf numFmtId="0" fontId="2" fillId="0" borderId="27" xfId="0" applyFont="1" applyBorder="1"/>
    <x:xf numFmtId="0" fontId="32" fillId="23" borderId="21" xfId="0" applyFont="1" applyFill="1" applyBorder="1" applyAlignment="1">
      <x:alignment vertical="center" wrapText="1" shrinkToFit="0"/>
    </x:xf>
    <x:xf numFmtId="0" fontId="32" fillId="23" borderId="23" xfId="0" applyFont="1" applyFill="1" applyBorder="1" applyAlignment="1">
      <x:alignment vertical="center" wrapText="1" shrinkToFit="0"/>
    </x:xf>
    <x:xf numFmtId="0" fontId="32" fillId="24" borderId="21" xfId="0" applyFont="1" applyFill="1" applyBorder="1" applyAlignment="1">
      <x:alignment vertical="center" wrapText="1" shrinkToFit="0"/>
    </x:xf>
    <x:xf numFmtId="0" fontId="32" fillId="24" borderId="23" xfId="0" applyFont="1" applyFill="1" applyBorder="1" applyAlignment="1">
      <x:alignment vertical="center" wrapText="1" shrinkToFit="0"/>
    </x:xf>
    <x:xf numFmtId="0" fontId="32" fillId="25" borderId="21" xfId="0" applyFont="1" applyFill="1" applyBorder="1" applyAlignment="1">
      <x:alignment vertical="center" wrapText="1" shrinkToFit="0"/>
    </x:xf>
    <x:xf numFmtId="0" fontId="32" fillId="25" borderId="23" xfId="0" applyFont="1" applyFill="1" applyBorder="1" applyAlignment="1">
      <x:alignment vertical="center" wrapText="1" shrinkToFit="0"/>
    </x:xf>
    <x:xf numFmtId="0" fontId="34" fillId="4" borderId="23" xfId="0" applyFont="1" applyFill="1" applyBorder="1"/>
    <x:xf numFmtId="0" fontId="9" fillId="4" borderId="21" xfId="0" applyFont="1" applyFill="1" applyBorder="1"/>
    <x:xf numFmtId="0" fontId="32" fillId="0" borderId="0" xfId="0" applyFont="1" applyAlignment="1">
      <x:alignment vertical="top" wrapText="1" shrinkToFit="0"/>
    </x:xf>
    <x:xf numFmtId="0" fontId="32" fillId="0" borderId="28" xfId="0" applyFont="1" applyBorder="1" applyAlignment="1">
      <x:alignment vertical="top" wrapText="1" shrinkToFit="0"/>
    </x:xf>
    <x:xf numFmtId="165" fontId="32" fillId="0" borderId="28" xfId="0" applyNumberFormat="1" applyFont="1" applyBorder="1" applyAlignment="1">
      <x:alignment vertical="top" wrapText="1" shrinkToFit="0"/>
    </x:xf>
    <x:xf numFmtId="0" fontId="0" fillId="26" borderId="0" xfId="0" applyNumberFormat="1" applyFont="1" applyFill="1" applyBorder="1" applyAlignment="1">
      <x:alignment vertical="bottom" wrapText="0"/>
    </x:xf>
    <x:xf numFmtId="0" fontId="35" fillId="26" borderId="0" xfId="0" applyNumberFormat="1" applyFont="1" applyFill="1" applyBorder="1" applyAlignment="1">
      <x:alignment vertical="bottom" wrapText="0"/>
    </x:xf>
    <x:xf numFmtId="0" fontId="35" fillId="26" borderId="0" xfId="0" applyNumberFormat="1" applyFont="1" applyFill="1" applyBorder="1" applyAlignment="1">
      <x:alignment vertical="bottom" wrapText="1"/>
    </x:xf>
    <x:xf numFmtId="0" fontId="35" fillId="26" borderId="0" xfId="0" applyNumberFormat="1" applyFont="1" applyFill="1" applyBorder="1" applyAlignment="1">
      <x:alignment vertical="center" wrapText="1"/>
    </x:xf>
    <x:xf numFmtId="0" fontId="36" fillId="0" borderId="0" xfId="0" applyNumberFormat="1" applyFont="1" applyFill="1" applyBorder="1" applyAlignment="1">
      <x:alignment vertical="bottom" wrapText="0"/>
    </x:xf>
    <x:xf numFmtId="0" fontId="36" fillId="27" borderId="0" xfId="0" applyNumberFormat="1" applyFont="1" applyFill="1" applyBorder="1" applyAlignment="1">
      <x:alignment vertical="bottom" wrapText="0"/>
    </x:xf>
    <x:xf numFmtId="0" fontId="36" fillId="28" borderId="0" xfId="0" applyNumberFormat="1" applyFont="1" applyFill="1" applyBorder="1" applyAlignment="1">
      <x:alignment vertical="bottom" wrapText="0"/>
    </x:xf>
    <x:xf numFmtId="0" fontId="36" fillId="29" borderId="0" xfId="0" applyNumberFormat="1" applyFont="1" applyFill="1" applyBorder="1" applyAlignment="1">
      <x:alignment vertical="bottom" wrapText="0"/>
    </x:xf>
    <x:xf numFmtId="0" fontId="37" fillId="29" borderId="0" xfId="0" applyNumberFormat="1" applyFont="1" applyFill="1" applyBorder="1" applyAlignment="1">
      <x:alignment vertical="bottom" wrapText="0"/>
    </x:xf>
    <x:xf numFmtId="0" fontId="0" fillId="30" borderId="0" xfId="0" applyNumberFormat="1" applyFont="1" applyFill="1" applyBorder="1" applyAlignment="1">
      <x:alignment vertical="bottom" wrapText="0"/>
    </x:xf>
    <x:xf numFmtId="0" fontId="38" fillId="30" borderId="0" xfId="0" applyNumberFormat="1" applyFont="1" applyFill="1" applyBorder="1" applyAlignment="1">
      <x:alignment vertical="bottom" wrapText="0"/>
    </x:xf>
    <x:xf numFmtId="0" fontId="0" fillId="29" borderId="0" xfId="0" applyNumberFormat="1" applyFont="1" applyFill="1" applyBorder="1" applyAlignment="1">
      <x:alignment vertical="bottom" wrapText="0"/>
    </x:xf>
    <x:xf numFmtId="0" fontId="39" fillId="29" borderId="0" xfId="0" applyNumberFormat="1" applyFont="1" applyFill="1" applyBorder="1" applyAlignment="1">
      <x:alignment vertical="bottom" wrapText="0"/>
    </x:xf>
    <x:xf numFmtId="0" fontId="0" fillId="31" borderId="0" xfId="0" applyNumberFormat="1" applyFont="1" applyFill="1" applyBorder="1" applyAlignment="1">
      <x:alignment vertical="bottom" wrapText="0"/>
    </x:xf>
    <x:xf numFmtId="0" fontId="40" fillId="31" borderId="0" xfId="0" applyNumberFormat="1" applyFont="1" applyFill="1" applyBorder="1" applyAlignment="1">
      <x:alignment vertical="bottom" wrapText="0"/>
    </x:xf>
    <x:xf numFmtId="0" fontId="36" fillId="0" borderId="0" xfId="0" applyNumberFormat="1" applyFont="1" applyFill="1" applyBorder="1" applyAlignment="1">
      <x:alignment vertical="center" wrapText="0"/>
    </x:xf>
    <x:xf numFmtId="0" fontId="37" fillId="29" borderId="0" xfId="0" applyNumberFormat="1" applyFont="1" applyFill="1" applyBorder="1" applyAlignment="1">
      <x:alignment vertical="center" wrapText="0"/>
    </x:xf>
    <x:xf numFmtId="0" fontId="36" fillId="27" borderId="0" xfId="0" applyNumberFormat="1" applyFont="1" applyFill="1" applyBorder="1" applyAlignment="1">
      <x:alignment vertical="center" wrapText="0"/>
    </x:xf>
    <x:xf numFmtId="0" fontId="36" fillId="28" borderId="0" xfId="0" applyNumberFormat="1" applyFont="1" applyFill="1" applyBorder="1" applyAlignment="1">
      <x:alignment vertical="center" wrapText="0"/>
    </x:xf>
    <x:xf numFmtId="0" fontId="0" fillId="0" borderId="0" xfId="0" applyNumberFormat="1" applyFont="1" applyFill="1" applyBorder="1" applyAlignment="1">
      <x:alignment vertical="center" wrapText="0"/>
    </x:xf>
    <x:xf numFmtId="0" fontId="38" fillId="30" borderId="0" xfId="0" applyNumberFormat="1" applyFont="1" applyFill="1" applyBorder="1" applyAlignment="1">
      <x:alignment vertical="center" wrapText="0"/>
    </x:xf>
    <x:xf numFmtId="0" fontId="39" fillId="29" borderId="0" xfId="0" applyNumberFormat="1" applyFont="1" applyFill="1" applyBorder="1" applyAlignment="1">
      <x:alignment vertical="center" wrapText="0"/>
    </x:xf>
    <x:xf numFmtId="0" fontId="40" fillId="31" borderId="0" xfId="0" applyNumberFormat="1" applyFont="1" applyFill="1" applyBorder="1" applyAlignment="1">
      <x:alignment vertical="center" wrapText="0"/>
    </x:xf>
    <x:xf numFmtId="0" fontId="36" fillId="0" borderId="0" xfId="0" applyNumberFormat="1" applyFont="1" applyFill="1" applyBorder="1" applyAlignment="1">
      <x:alignment vertical="center" wrapText="1"/>
    </x:xf>
    <x:xf numFmtId="0" fontId="37" fillId="29" borderId="0" xfId="0" applyNumberFormat="1" applyFont="1" applyFill="1" applyBorder="1" applyAlignment="1">
      <x:alignment vertical="center" wrapText="1"/>
    </x:xf>
    <x:xf numFmtId="0" fontId="36" fillId="27" borderId="0" xfId="0" applyNumberFormat="1" applyFont="1" applyFill="1" applyBorder="1" applyAlignment="1">
      <x:alignment vertical="center" wrapText="1"/>
    </x:xf>
    <x:xf numFmtId="0" fontId="36" fillId="2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38" fillId="30" borderId="0" xfId="0" applyNumberFormat="1" applyFont="1" applyFill="1" applyBorder="1" applyAlignment="1">
      <x:alignment vertical="center" wrapText="1"/>
    </x:xf>
    <x:xf numFmtId="0" fontId="39" fillId="29" borderId="0" xfId="0" applyNumberFormat="1" applyFont="1" applyFill="1" applyBorder="1" applyAlignment="1">
      <x:alignment vertical="center" wrapText="1"/>
    </x:xf>
    <x:xf numFmtId="0" fontId="40" fillId="31" borderId="0" xfId="0" applyNumberFormat="1" applyFont="1" applyFill="1" applyBorder="1" applyAlignment="1">
      <x:alignment vertical="center" wrapText="1"/>
    </x:xf>
    <x:xf numFmtId="0" fontId="9" fillId="4" borderId="4" xfId="0" applyNumberFormat="1" applyFont="1" applyFill="1" applyBorder="1" applyAlignment="1">
      <x:alignment vertical="center" wrapText="1"/>
    </x:xf>
    <x:xf numFmtId="200" fontId="21" fillId="17" borderId="15" xfId="0" applyNumberFormat="1" applyFont="1" applyFill="1" applyBorder="1" applyAlignment="1">
      <x:alignment horizontal="center" vertical="center"/>
    </x:xf>
    <x:xf numFmtId="0" fontId="41" fillId="29" borderId="0" xfId="0" applyNumberFormat="1" applyFont="1" applyFill="1" applyBorder="1" applyAlignment="1">
      <x:alignment vertical="bottom" wrapText="0"/>
    </x:xf>
    <x:xf numFmtId="164" fontId="42" fillId="0" borderId="22" xfId="0" applyNumberFormat="1" applyFont="1" applyFill="1" applyBorder="1" applyAlignment="1">
      <x:alignment vertical="center" wrapText="1"/>
    </x:xf>
    <x:xf numFmtId="165" fontId="42" fillId="0" borderId="22" xfId="0" applyNumberFormat="1" applyFont="1" applyFill="1" applyBorder="1" applyAlignment="1">
      <x:alignment vertical="center" wrapText="1"/>
    </x:xf>
    <x:xf numFmtId="0" fontId="42" fillId="0" borderId="22" xfId="0" applyNumberFormat="1" applyFont="1" applyFill="1" applyBorder="1" applyAlignment="1">
      <x:alignment vertical="center" wrapText="1"/>
    </x:xf>
    <x:xf numFmtId="0" fontId="42" fillId="0" borderId="22" xfId="0" applyNumberFormat="1" applyFont="1" applyFill="1" applyBorder="1"/>
    <x:xf numFmtId="164" fontId="42" fillId="0" borderId="22" xfId="0" applyNumberFormat="1" applyFont="1" applyFill="1" applyBorder="1"/>
    <x:xf numFmtId="164" fontId="42" fillId="0" borderId="22" xfId="0" applyNumberFormat="1" applyFont="1" applyFill="1" applyBorder="1" applyAlignment="1">
      <x:alignment horizontal="right"/>
    </x:xf>
    <x:xf numFmtId="0" fontId="42" fillId="0" borderId="22" xfId="0" applyNumberFormat="1" applyFont="1" applyFill="1" applyBorder="1" applyAlignment="1">
      <x:alignment horizontal="right"/>
    </x:xf>
    <x:xf numFmtId="165" fontId="42" fillId="0" borderId="22" xfId="0" applyNumberFormat="1" applyFont="1" applyFill="1" applyBorder="1" applyAlignment="1">
      <x:alignment horizontal="right"/>
    </x:xf>
    <x:xf numFmtId="201" fontId="32" fillId="0" borderId="28" xfId="0" applyNumberFormat="1" applyFont="1" applyFill="1" applyBorder="1" applyAlignment="1">
      <x:alignment vertical="top" wrapText="1"/>
    </x:xf>
    <x:xf numFmtId="202" fontId="32" fillId="0" borderId="28" xfId="0" applyNumberFormat="1" applyFont="1" applyFill="1" applyBorder="1" applyAlignment="1">
      <x:alignment vertical="top" wrapText="1"/>
    </x:xf>
    <x:xf numFmtId="0" fontId="32" fillId="0" borderId="28" xfId="0" applyNumberFormat="1" applyFont="1" applyFill="1" applyBorder="1" applyAlignment="1">
      <x:alignment vertical="top" wrapText="1"/>
    </x:xf>
    <x:xf numFmtId="0" fontId="36" fillId="20" borderId="0" xfId="0" applyNumberFormat="1" applyFont="1" applyFill="1" applyBorder="1" applyAlignment="1">
      <x:alignment vertical="center" wrapText="1"/>
    </x:xf>
    <x:xf numFmtId="203" fontId="36" fillId="2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ill>
        <x:patternFill>
          <x:bgColor rgb="FFC6EFCE"/>
        </x:patternFill>
      </x:fill>
      <x:border/>
    </x:dxf>
    <x:dxf>
      <x:fill>
        <x:patternFill>
          <x:bgColor rgb="FFE2F0D9"/>
        </x:patternFill>
      </x:fill>
      <x:border/>
    </x:dxf>
    <x:dxf>
      <x:fill>
        <x:patternFill>
          <x:bgColor rgb="FFFFF2CC"/>
        </x:patternFill>
      </x:fill>
      <x:border/>
    </x:dxf>
    <x:dxf>
      <x:fill>
        <x:patternFill>
          <x:bgColor rgb="FFFCE4D6"/>
        </x:patternFill>
      </x:fill>
      <x:border/>
    </x:dxf>
    <x:dxf>
      <x:fill>
        <x:patternFill>
          <x:bgColor rgb="FFF4CCCC"/>
        </x:patternFill>
      </x:fill>
      <x:border/>
    </x:dxf>
    <x:dxf>
      <x:fill>
        <x:patternFill>
          <x:bgColor rgb="FFE6B8B7"/>
        </x:patternFill>
      </x:fill>
      <x:border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6a0f713dee4278" /><Relationship Type="http://schemas.openxmlformats.org/officeDocument/2006/relationships/theme" Target="/xl/theme/theme1.xml" Id="R350ee85bfefd449b" /><Relationship Type="http://schemas.openxmlformats.org/officeDocument/2006/relationships/sharedStrings" Target="/xl/sharedStrings.xml" Id="R30bd8f7b7f6b40c5" /><Relationship Type="http://schemas.openxmlformats.org/officeDocument/2006/relationships/worksheet" Target="/xl/worksheets/sheet1.xml" Id="Rfc58d605634046f1" /><Relationship Type="http://schemas.openxmlformats.org/officeDocument/2006/relationships/worksheet" Target="/xl/worksheets/sheet2.xml" Id="Rb7b28fb58ce64180" /><Relationship Type="http://schemas.openxmlformats.org/officeDocument/2006/relationships/worksheet" Target="/xl/worksheets/sheet3.xml" Id="R34d015dd2c75492f" /><Relationship Type="http://schemas.openxmlformats.org/officeDocument/2006/relationships/worksheet" Target="/xl/worksheets/sheet4.xml" Id="R097727c292714d65" /><Relationship Type="http://schemas.openxmlformats.org/officeDocument/2006/relationships/worksheet" Target="/xl/worksheets/sheet5.xml" Id="Ra8b5ca4b8d85425f" /><Relationship Type="http://schemas.openxmlformats.org/officeDocument/2006/relationships/worksheet" Target="/xl/worksheets/sheet6.xml" Id="R160179d8a0894a8e" /><Relationship Type="http://schemas.openxmlformats.org/officeDocument/2006/relationships/worksheet" Target="/xl/worksheets/sheet7.xml" Id="Rc288eb21d14a4b8b" /><Relationship Type="http://schemas.openxmlformats.org/officeDocument/2006/relationships/worksheet" Target="/xl/worksheets/sheet8.xml" Id="Rd78ec379b41d4377" /><Relationship Type="http://schemas.openxmlformats.org/officeDocument/2006/relationships/worksheet" Target="/xl/worksheets/sheet9.xml" Id="R83ba079cf0b9444b" /><Relationship Type="http://schemas.openxmlformats.org/officeDocument/2006/relationships/worksheet" Target="/xl/worksheets/sheet10.xml" Id="R5a806eedcccc43ad" /><Relationship Type="http://schemas.openxmlformats.org/officeDocument/2006/relationships/worksheet" Target="/xl/worksheets/sheet11.xml" Id="R6a1fd019dd5e4875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14.430000305175781" defaultRowHeight="15"/>
  <x:cols>
    <x:col min="1" max="1" width="4" customWidth="1"/>
    <x:col min="2" max="2" width="62" customWidth="1"/>
    <x:col min="3" max="3" width="26" customWidth="1"/>
    <x:col min="4" max="11" width="8.710000038146973" customWidth="1"/>
  </x:cols>
  <x:sheetData>
    <x:row r="2" ht="39.75" customHeight="1">
      <x:c r="B2" s="1" t="str">
        <x:v>BALANCED SCORECARD — SOUTHWEST AIRLINES | BASE DE TRABAJO 2025</x:v>
      </x:c>
      <x:c r="C2" s="2"/>
    </x:row>
    <x:row r="3" ht="24" customHeight="1">
      <x:c r="B3" s="3" t="str">
        <x:v>4 perspectivas · 12 objetivos estratégicos · 36 KPI · datos públicos y estimaciones ficticias identificados</x:v>
      </x:c>
      <x:c r="C3" s="2"/>
    </x:row>
    <x:row r="5">
      <x:c r="B5" s="4" t="s">
        <x:v>0</x:v>
      </x:c>
    </x:row>
    <x:row r="6" ht="18" customHeight="1">
      <x:c r="B6" s="5" t="s">
        <x:v>1</x:v>
      </x:c>
      <x:c r="C6" s="6" t="str">
        <x:v>Resumen de 36 KPI adaptados a aerolínea con semáforo automático</x:v>
      </x:c>
    </x:row>
    <x:row r="7" ht="18" customHeight="1">
      <x:c r="B7" s="5" t="s">
        <x:v>2</x:v>
      </x:c>
      <x:c r="C7" s="6" t="str">
        <x:v>3 objetivos · 9 KPI financieros</x:v>
      </x:c>
    </x:row>
    <x:row r="8" ht="18" customHeight="1">
      <x:c r="B8" s="5" t="s">
        <x:v>3</x:v>
      </x:c>
      <x:c r="C8" s="6" t="str">
        <x:v>3 objetivos · 9 KPI de clientes</x:v>
      </x:c>
    </x:row>
    <x:row r="9" ht="18" customHeight="1">
      <x:c r="B9" s="5" t="s">
        <x:v>4</x:v>
      </x:c>
      <x:c r="C9" s="6" t="str">
        <x:v>3 objetivos · 9 KPI operativos</x:v>
      </x:c>
    </x:row>
    <x:row r="10" ht="18" customHeight="1">
      <x:c r="B10" s="5" t="s">
        <x:v>5</x:v>
      </x:c>
      <x:c r="C10" s="6" t="str">
        <x:v>3 objetivos · 9 KPI de personas y capacidades</x:v>
      </x:c>
    </x:row>
    <x:row r="11" ht="18" customHeight="1">
      <x:c r="B11" s="5" t="s">
        <x:v>6</x:v>
      </x:c>
      <x:c r="C11" s="6" t="str">
        <x:v>Semáforo ejecutivo por perspectiva</x:v>
      </x:c>
    </x:row>
    <x:row r="13">
      <x:c r="B13" s="7" t="s">
        <x:v>7</x:v>
      </x:c>
    </x:row>
    <x:row r="14" ht="15.75" customHeight="1">
      <x:c r="B14" s="8" t="str">
        <x:v>La hoja “Base Southwest” concentra meta, real, periodo, fuente y tipo de dato para los 36 KPI.</x:v>
      </x:c>
    </x:row>
    <x:row r="15" ht="15.75" customHeight="1">
      <x:c r="B15" s="8" t="str">
        <x:v>Las metas son propuestas para el ejercicio, no metas oficiales de la empresa.</x:v>
      </x:c>
    </x:row>
    <x:row r="16" ht="15.75" customHeight="1">
      <x:c r="B16" s="8" t="str">
        <x:v>Los datos públicos y calculados públicos tienen fuente oficial; los ficticios están marcados.</x:v>
      </x:c>
    </x:row>
    <x:row r="17" ht="15.75" customHeight="1">
      <x:c r="B17" s="8" t="str">
        <x:v>Cuando no se encontró un valor público comparable, se usa un valor ficticio solo para mostrar el funcionamiento del modelo.</x:v>
      </x:c>
    </x:row>
    <x:row r="18" ht="15.75" customHeight="1">
      <x:c r="B18" s="8" t="str">
        <x:v>El último ejercicio anual completo es 2025; algunas métricas públicas del DOT son de octubre de 2025.</x:v>
      </x:c>
    </x:row>
    <x:row r="19">
      <x:c r="B19" t="str">
        <x:v>▸ Base Southwest</x:v>
      </x:c>
      <x:c r="C19" t="str">
        <x:v>Datos, periodo, fuente y clasificación de los 36 KPI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</x:sheetData>
  <x:mergeCells>
    <x:mergeCell ref="B17:C17"/>
    <x:mergeCell ref="B18:C18"/>
    <x:mergeCell ref="B13:C13"/>
    <x:mergeCell ref="B16:C16"/>
    <x:mergeCell ref="B2:C2"/>
    <x:mergeCell ref="B15:C15"/>
    <x:mergeCell ref="B3:C3"/>
    <x:mergeCell ref="B5:C5"/>
    <x:mergeCell ref="B14:C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ColWidth="14.430000305175781" defaultRowHeight="15"/>
  <x:cols>
    <x:col min="1" max="1" width="3" customWidth="1"/>
    <x:col min="2" max="2" width="18" customWidth="1"/>
    <x:col min="3" max="3" width="22" customWidth="1"/>
    <x:col min="4" max="4" width="38" customWidth="1"/>
    <x:col min="5" max="5" width="11" customWidth="1"/>
    <x:col min="6" max="7" width="12" customWidth="1"/>
    <x:col min="8" max="8" width="14" customWidth="1"/>
    <x:col min="9" max="9" width="16" customWidth="1"/>
    <x:col min="10" max="11" width="8.710000038146973" customWidth="1"/>
  </x:cols>
  <x:sheetData>
    <x:row r="2" ht="31.5" customHeight="1">
      <x:c r="B2" s="9" t="str">
        <x:v>BALANCED SCORECARD — SOUTHWEST AIRLINES | BASE 2025 · 4 PERSPECTIVAS · 12 OBJETIVOS · 36 KPI</x:v>
      </x:c>
      <x:c r="C2" s="10"/>
      <x:c r="D2" s="10"/>
      <x:c r="E2" s="10"/>
      <x:c r="F2" s="10"/>
      <x:c r="G2" s="10"/>
      <x:c r="H2" s="10"/>
      <x:c r="I2" s="2"/>
    </x:row>
    <x:row r="3" ht="34" customHeight="1">
      <x:c r="B3" s="169" t="str">
        <x:v>Perspectiva</x:v>
      </x:c>
      <x:c r="C3" s="169" t="str">
        <x:v>Objetivo Estratégico</x:v>
      </x:c>
      <x:c r="D3" s="169" t="str">
        <x:v>Indicador (KPI)</x:v>
      </x:c>
      <x:c r="E3" s="169" t="str">
        <x:v>Unidad</x:v>
      </x:c>
      <x:c r="F3" s="169" t="str">
        <x:v>Meta propuesta</x:v>
      </x:c>
      <x:c r="G3" s="169" t="str">
        <x:v>Real / resultado</x:v>
      </x:c>
      <x:c r="H3" s="169" t="str">
        <x:v>% Cumpl.</x:v>
      </x:c>
      <x:c r="I3" s="169" t="str">
        <x:v>Estado</x:v>
      </x:c>
    </x:row>
    <x:row r="4" ht="27" customHeight="1">
      <x:c r="B4" s="12" t="str">
        <x:v>💰 PERSPECTIVA FINANCIERA</x:v>
      </x:c>
      <x:c r="C4" s="13" t="str">
        <x:v>OBJ-F1: Mejorar la rentabilidad sostenible</x:v>
      </x:c>
      <x:c r="D4" s="14" t="str">
        <x:v>Margen operativo GAAP</x:v>
      </x:c>
      <x:c r="E4" s="15" t="str">
        <x:v>%</x:v>
      </x:c>
      <x:c r="F4" s="16" t="n">
        <x:f>'Base Southwest'!H2</x:f>
        <x:v>2</x:v>
      </x:c>
      <x:c r="G4" s="16" t="n">
        <x:f>'Base Southwest'!I2</x:f>
        <x:v>1.5</x:v>
      </x:c>
      <x:c r="H4" s="17" t="n">
        <x:f t="shared" ref="H4:H9" si="1">'Base Southwest'!J2</x:f>
        <x:v>75</x:v>
      </x:c>
      <x:c r="I4" s="18" t="str">
        <x:f t="shared" ref="I4:I12" si="2">'Base Southwest'!K2</x:f>
        <x:v>🟠 RIESGO MODERADO</x:v>
      </x:c>
    </x:row>
    <x:row r="5" ht="27" customHeight="1">
      <x:c r="B5" s="19"/>
      <x:c r="C5" s="20"/>
      <x:c r="D5" s="14" t="str">
        <x:v>Utilidad neta GAAP</x:v>
      </x:c>
      <x:c r="E5" s="15" t="str">
        <x:v>US$ MM</x:v>
      </x:c>
      <x:c r="F5" s="16" t="n">
        <x:f>'Base Southwest'!H3</x:f>
        <x:v>500</x:v>
      </x:c>
      <x:c r="G5" s="16" t="n">
        <x:f>'Base Southwest'!I3</x:f>
        <x:v>441</x:v>
      </x:c>
      <x:c r="H5" s="17" t="n">
        <x:f t="shared" si="1">'Base Southwest'!J3</x:f>
        <x:v>88.2</x:v>
      </x:c>
      <x:c r="I5" s="18" t="str">
        <x:f t="shared" si="2">'Base Southwest'!K3</x:f>
        <x:v>🟠 RIESGO MODERADO</x:v>
      </x:c>
    </x:row>
    <x:row r="6" ht="27" customHeight="1">
      <x:c r="B6" s="19"/>
      <x:c r="C6" s="21"/>
      <x:c r="D6" s="14" t="str">
        <x:v>EBIT ajustado</x:v>
      </x:c>
      <x:c r="E6" s="15" t="str">
        <x:v>US$ MM</x:v>
      </x:c>
      <x:c r="F6" s="16" t="n">
        <x:f>'Base Southwest'!H4</x:f>
        <x:v>600</x:v>
      </x:c>
      <x:c r="G6" s="22" t="n">
        <x:f>'Base Southwest'!I4</x:f>
        <x:v>574</x:v>
      </x:c>
      <x:c r="H6" s="17" t="n">
        <x:f t="shared" si="1">'Base Southwest'!J4</x:f>
        <x:v>95.66666666666667</x:v>
      </x:c>
      <x:c r="I6" s="18" t="str">
        <x:f t="shared" si="2">'Base Southwest'!K4</x:f>
        <x:v>🟡 CASI LOGRADO</x:v>
      </x:c>
    </x:row>
    <x:row r="7" ht="27" customHeight="1">
      <x:c r="B7" s="19"/>
      <x:c r="C7" s="23" t="str">
        <x:v>OBJ-F2: Impulsar ingresos y demanda de pasajeros</x:v>
      </x:c>
      <x:c r="D7" s="24" t="str">
        <x:v>Ingresos operativos</x:v>
      </x:c>
      <x:c r="E7" s="25" t="str">
        <x:v>US$ mil MM</x:v>
      </x:c>
      <x:c r="F7" s="26" t="n">
        <x:f>'Base Southwest'!H5</x:f>
        <x:v>29</x:v>
      </x:c>
      <x:c r="G7" s="26" t="n">
        <x:f>'Base Southwest'!I5</x:f>
        <x:v>28.1</x:v>
      </x:c>
      <x:c r="H7" s="27" t="n">
        <x:f t="shared" si="1">'Base Southwest'!J5</x:f>
        <x:v>96.89655172413794</x:v>
      </x:c>
      <x:c r="I7" s="28" t="str">
        <x:f t="shared" si="2">'Base Southwest'!K5</x:f>
        <x:v>🟡 CASI LOGRADO</x:v>
      </x:c>
    </x:row>
    <x:row r="8" ht="27" customHeight="1">
      <x:c r="B8" s="19"/>
      <x:c r="C8" s="20"/>
      <x:c r="D8" s="24" t="str">
        <x:v>Ingresos de pasajeros</x:v>
      </x:c>
      <x:c r="E8" s="25" t="str">
        <x:v>US$ mil MM</x:v>
      </x:c>
      <x:c r="F8" s="26" t="n">
        <x:f>'Base Southwest'!H6</x:f>
        <x:v>26</x:v>
      </x:c>
      <x:c r="G8" s="29" t="n">
        <x:f>'Base Southwest'!I6</x:f>
        <x:v>25.5</x:v>
      </x:c>
      <x:c r="H8" s="27" t="n">
        <x:f t="shared" si="1">'Base Southwest'!J6</x:f>
        <x:v>98.07692307692307</x:v>
      </x:c>
      <x:c r="I8" s="28" t="str">
        <x:f t="shared" si="2">'Base Southwest'!K6</x:f>
        <x:v>🟡 CASI LOGRADO</x:v>
      </x:c>
    </x:row>
    <x:row r="9" ht="27" customHeight="1">
      <x:c r="B9" s="19"/>
      <x:c r="C9" s="21"/>
      <x:c r="D9" s="24" t="str">
        <x:v>Pasajeros transportados</x:v>
      </x:c>
      <x:c r="E9" s="25" t="str">
        <x:v>millones</x:v>
      </x:c>
      <x:c r="F9" s="26" t="n">
        <x:f>'Base Southwest'!H7</x:f>
        <x:v>140</x:v>
      </x:c>
      <x:c r="G9" s="26" t="n">
        <x:f>'Base Southwest'!I7</x:f>
        <x:v>134.11</x:v>
      </x:c>
      <x:c r="H9" s="27" t="n">
        <x:f t="shared" si="1">'Base Southwest'!J7</x:f>
        <x:v>95.79285714285716</x:v>
      </x:c>
      <x:c r="I9" s="28" t="str">
        <x:f t="shared" si="2">'Base Southwest'!K7</x:f>
        <x:v>🟡 CASI LOGRADO</x:v>
      </x:c>
    </x:row>
    <x:row r="10" ht="27" customHeight="1">
      <x:c r="B10" s="19"/>
      <x:c r="C10" s="13" t="str">
        <x:v>OBJ-F3: Controlar costos unitarios y combustible</x:v>
      </x:c>
      <x:c r="D10" s="14" t="str">
        <x:v>Gastos operativos por ASM</x:v>
      </x:c>
      <x:c r="E10" s="15" t="str">
        <x:v>centavos</x:v>
      </x:c>
      <x:c r="F10" s="16" t="n">
        <x:f>'Base Southwest'!H8</x:f>
        <x:v>15</x:v>
      </x:c>
      <x:c r="G10" s="16" t="n">
        <x:f>'Base Southwest'!I8</x:f>
        <x:v>15.35</x:v>
      </x:c>
      <x:c r="H10" s="17" t="n">
        <x:f t="shared" ref="H10:H11" si="3">'Base Southwest'!J8</x:f>
        <x:v>97.71986970684038</x:v>
      </x:c>
      <x:c r="I10" s="18" t="str">
        <x:f t="shared" si="2">'Base Southwest'!K8</x:f>
        <x:v>🟡 CASI LOGRADO</x:v>
      </x:c>
    </x:row>
    <x:row r="11" ht="27" customHeight="1">
      <x:c r="B11" s="19"/>
      <x:c r="C11" s="20"/>
      <x:c r="D11" s="14" t="str">
        <x:v>Gastos por ASM sin combustible</x:v>
      </x:c>
      <x:c r="E11" s="15" t="str">
        <x:v>centavos</x:v>
      </x:c>
      <x:c r="F11" s="16" t="n">
        <x:f>'Base Southwest'!H9</x:f>
        <x:v>12</x:v>
      </x:c>
      <x:c r="G11" s="16" t="n">
        <x:f>'Base Southwest'!I9</x:f>
        <x:v>12.44</x:v>
      </x:c>
      <x:c r="H11" s="17" t="n">
        <x:f t="shared" si="3">'Base Southwest'!J9</x:f>
        <x:v>96.46302250803859</x:v>
      </x:c>
      <x:c r="I11" s="18" t="str">
        <x:f t="shared" si="2">'Base Southwest'!K9</x:f>
        <x:v>🟡 CASI LOGRADO</x:v>
      </x:c>
    </x:row>
    <x:row r="12" ht="27" customHeight="1">
      <x:c r="B12" s="30"/>
      <x:c r="C12" s="21"/>
      <x:c r="D12" s="14" t="str">
        <x:v>Combustible por 1,000 ASM</x:v>
      </x:c>
      <x:c r="E12" s="15" t="str">
        <x:v>galones</x:v>
      </x:c>
      <x:c r="F12" s="16" t="n">
        <x:f>'Base Southwest'!H10</x:f>
        <x:v>11.8</x:v>
      </x:c>
      <x:c r="G12" s="16" t="n">
        <x:f>'Base Southwest'!I10</x:f>
        <x:v>12.05</x:v>
      </x:c>
      <x:c r="H12" s="17" t="n">
        <x:f>'Base Southwest'!J10</x:f>
        <x:v>97.9253112033195</x:v>
      </x:c>
      <x:c r="I12" s="18" t="str">
        <x:f t="shared" si="2">'Base Southwest'!K10</x:f>
        <x:v>🟡 CASI LOGRADO</x:v>
      </x:c>
    </x:row>
    <x:row r="13" ht="6" customHeight="1"/>
    <x:row r="14" ht="27" customHeight="1">
      <x:c r="B14" s="31" t="str">
        <x:v>👥 PERSPECTIVA DE CLIENTES</x:v>
      </x:c>
      <x:c r="C14" s="32" t="str">
        <x:v>OBJ-C1: Ofrecer una experiencia confiable y satisfactoria</x:v>
      </x:c>
      <x:c r="D14" s="33" t="str">
        <x:v>NPS de pasajeros</x:v>
      </x:c>
      <x:c r="E14" s="34" t="str">
        <x:v>puntos</x:v>
      </x:c>
      <x:c r="F14" s="35" t="n">
        <x:f>'Base Southwest'!H11</x:f>
        <x:v>60</x:v>
      </x:c>
      <x:c r="G14" s="35" t="n">
        <x:f>'Base Southwest'!I11</x:f>
        <x:v>52</x:v>
      </x:c>
      <x:c r="H14" s="36" t="n">
        <x:f t="shared" ref="H14:H15" si="4">'Base Southwest'!J11</x:f>
        <x:v>86.66666666666667</x:v>
      </x:c>
      <x:c r="I14" s="37" t="str">
        <x:f t="shared" ref="I14:I22" si="5">'Base Southwest'!K11</x:f>
        <x:v>🟠 RIESGO MODERADO</x:v>
      </x:c>
    </x:row>
    <x:row r="15" ht="27" customHeight="1">
      <x:c r="B15" s="19"/>
      <x:c r="C15" s="20"/>
      <x:c r="D15" s="33" t="str">
        <x:v>CSAT post-vuelo</x:v>
      </x:c>
      <x:c r="E15" s="34" t="str">
        <x:v>%</x:v>
      </x:c>
      <x:c r="F15" s="35" t="n">
        <x:f>'Base Southwest'!H12</x:f>
        <x:v>90</x:v>
      </x:c>
      <x:c r="G15" s="35" t="n">
        <x:f>'Base Southwest'!I12</x:f>
        <x:v>86</x:v>
      </x:c>
      <x:c r="H15" s="36" t="n">
        <x:f t="shared" si="4">'Base Southwest'!J12</x:f>
        <x:v>95.55555555555556</x:v>
      </x:c>
      <x:c r="I15" s="37" t="str">
        <x:f t="shared" si="5">'Base Southwest'!K12</x:f>
        <x:v>🟡 CASI LOGRADO</x:v>
      </x:c>
    </x:row>
    <x:row r="16" ht="27" customHeight="1">
      <x:c r="B16" s="19"/>
      <x:c r="C16" s="21"/>
      <x:c r="D16" s="33" t="str">
        <x:v>Ranking de aerolíneas en EE. UU. (WSJ)</x:v>
      </x:c>
      <x:c r="E16" s="34" t="str">
        <x:v>posición</x:v>
      </x:c>
      <x:c r="F16" s="35" t="n">
        <x:f>'Base Southwest'!H13</x:f>
        <x:v>1</x:v>
      </x:c>
      <x:c r="G16" s="35" t="n">
        <x:f>'Base Southwest'!I13</x:f>
        <x:v>1</x:v>
      </x:c>
      <x:c r="H16" s="36" t="n">
        <x:f>'Base Southwest'!J13</x:f>
        <x:v>100</x:v>
      </x:c>
      <x:c r="I16" s="37" t="str">
        <x:f t="shared" si="5">'Base Southwest'!K13</x:f>
        <x:v>🟢 LOGRADO</x:v>
      </x:c>
    </x:row>
    <x:row r="17" ht="27" customHeight="1">
      <x:c r="B17" s="19"/>
      <x:c r="C17" s="38" t="str">
        <x:v>OBJ-C2: Fortalecer lealtad y recompra</x:v>
      </x:c>
      <x:c r="D17" s="39" t="str">
        <x:v>Tasa de recompra de pasajeros</x:v>
      </x:c>
      <x:c r="E17" s="40" t="str">
        <x:v>%</x:v>
      </x:c>
      <x:c r="F17" s="41" t="n">
        <x:f>'Base Southwest'!H14</x:f>
        <x:v>82</x:v>
      </x:c>
      <x:c r="G17" s="41" t="n">
        <x:f>'Base Southwest'!I14</x:f>
        <x:v>78</x:v>
      </x:c>
      <x:c r="H17" s="42" t="n">
        <x:f t="shared" ref="H17:H18" si="6">'Base Southwest'!J14</x:f>
        <x:v>95.1219512195122</x:v>
      </x:c>
      <x:c r="I17" s="43" t="str">
        <x:f t="shared" si="5">'Base Southwest'!K14</x:f>
        <x:v>🟡 CASI LOGRADO</x:v>
      </x:c>
    </x:row>
    <x:row r="18" ht="27" customHeight="1">
      <x:c r="B18" s="19"/>
      <x:c r="C18" s="20"/>
      <x:c r="D18" s="39" t="str">
        <x:v>Retención de miembros Rapid Rewards</x:v>
      </x:c>
      <x:c r="E18" s="40" t="str">
        <x:v>%</x:v>
      </x:c>
      <x:c r="F18" s="41" t="n">
        <x:f>'Base Southwest'!H15</x:f>
        <x:v>88</x:v>
      </x:c>
      <x:c r="G18" s="41" t="n">
        <x:f>'Base Southwest'!I15</x:f>
        <x:v>84</x:v>
      </x:c>
      <x:c r="H18" s="42" t="n">
        <x:f t="shared" si="6">'Base Southwest'!J15</x:f>
        <x:v>95.45454545454545</x:v>
      </x:c>
      <x:c r="I18" s="43" t="str">
        <x:f t="shared" si="5">'Base Southwest'!K15</x:f>
        <x:v>🟡 CASI LOGRADO</x:v>
      </x:c>
    </x:row>
    <x:row r="19" ht="27" customHeight="1">
      <x:c r="B19" s="19"/>
      <x:c r="C19" s="21"/>
      <x:c r="D19" s="39" t="str">
        <x:v>Equipaje mal manejado por cada 100 piezas</x:v>
      </x:c>
      <x:c r="E19" s="40" t="str">
        <x:v>por 100</x:v>
      </x:c>
      <x:c r="F19" s="41" t="n">
        <x:f>'Base Southwest'!H16</x:f>
        <x:v>0.28</x:v>
      </x:c>
      <x:c r="G19" s="41" t="n">
        <x:f>'Base Southwest'!I16</x:f>
        <x:v>0.3</x:v>
      </x:c>
      <x:c r="H19" s="42" t="n">
        <x:f>'Base Southwest'!J16</x:f>
        <x:v>93.33333333333334</x:v>
      </x:c>
      <x:c r="I19" s="43" t="str">
        <x:f t="shared" si="5">'Base Southwest'!K16</x:f>
        <x:v>🟡 CASI LOGRADO</x:v>
      </x:c>
    </x:row>
    <x:row r="20" ht="27" customHeight="1">
      <x:c r="B20" s="19"/>
      <x:c r="C20" s="32" t="str">
        <x:v>OBJ-C3: Ampliar la base y el acceso de clientes</x:v>
      </x:c>
      <x:c r="D20" s="33" t="str">
        <x:v>Nuevos miembros de Rapid Rewards</x:v>
      </x:c>
      <x:c r="E20" s="34" t="str">
        <x:v>millones</x:v>
      </x:c>
      <x:c r="F20" s="35" t="n">
        <x:f>'Base Southwest'!H17</x:f>
        <x:v>13.5</x:v>
      </x:c>
      <x:c r="G20" s="35" t="n">
        <x:f>'Base Southwest'!I17</x:f>
        <x:v>12</x:v>
      </x:c>
      <x:c r="H20" s="36" t="n">
        <x:f t="shared" ref="H20:H21" si="7">'Base Southwest'!J17</x:f>
        <x:v>88.88888888888889</x:v>
      </x:c>
      <x:c r="I20" s="37" t="str">
        <x:f t="shared" si="5">'Base Southwest'!K17</x:f>
        <x:v>🟠 RIESGO MODERADO</x:v>
      </x:c>
    </x:row>
    <x:row r="21" ht="27" customHeight="1">
      <x:c r="B21" s="19"/>
      <x:c r="C21" s="20"/>
      <x:c r="D21" s="33" t="str">
        <x:v>Participación en mercado doméstico</x:v>
      </x:c>
      <x:c r="E21" s="34" t="str">
        <x:v>%</x:v>
      </x:c>
      <x:c r="F21" s="35" t="n">
        <x:f>'Base Southwest'!H18</x:f>
        <x:v>17</x:v>
      </x:c>
      <x:c r="G21" s="35" t="n">
        <x:f>'Base Southwest'!I18</x:f>
        <x:v>16.5</x:v>
      </x:c>
      <x:c r="H21" s="36" t="n">
        <x:f t="shared" si="7">'Base Southwest'!J18</x:f>
        <x:v>97.05882352941177</x:v>
      </x:c>
      <x:c r="I21" s="37" t="str">
        <x:f t="shared" si="5">'Base Southwest'!K18</x:f>
        <x:v>🟡 CASI LOGRADO</x:v>
      </x:c>
    </x:row>
    <x:row r="22" ht="27" customHeight="1">
      <x:c r="B22" s="30"/>
      <x:c r="C22" s="21"/>
      <x:c r="D22" s="33" t="str">
        <x:v>Reservas digitales / total de reservas</x:v>
      </x:c>
      <x:c r="E22" s="34" t="str">
        <x:v>%</x:v>
      </x:c>
      <x:c r="F22" s="35" t="n">
        <x:f>'Base Southwest'!H19</x:f>
        <x:v>88</x:v>
      </x:c>
      <x:c r="G22" s="35" t="n">
        <x:f>'Base Southwest'!I19</x:f>
        <x:v>82</x:v>
      </x:c>
      <x:c r="H22" s="36" t="n">
        <x:f>'Base Southwest'!J19</x:f>
        <x:v>93.18181818181817</x:v>
      </x:c>
      <x:c r="I22" s="37" t="str">
        <x:f t="shared" si="5">'Base Southwest'!K19</x:f>
        <x:v>🟡 CASI LOGRADO</x:v>
      </x:c>
    </x:row>
    <x:row r="23" ht="6" customHeight="1"/>
    <x:row r="24" ht="27" customHeight="1">
      <x:c r="B24" s="44" t="str">
        <x:v>🔧 PERSPECTIVA DE PROCESOS INTERNOS</x:v>
      </x:c>
      <x:c r="C24" s="45" t="str">
        <x:v>OBJ-P1: Mejorar puntualidad, finalización y accesibilidad</x:v>
      </x:c>
      <x:c r="D24" s="46" t="str">
        <x:v>Llegadas puntuales</x:v>
      </x:c>
      <x:c r="E24" s="47" t="str">
        <x:v>%</x:v>
      </x:c>
      <x:c r="F24" s="48" t="n">
        <x:f>'Base Southwest'!H20</x:f>
        <x:v>82</x:v>
      </x:c>
      <x:c r="G24" s="48" t="n">
        <x:f>'Base Southwest'!I20</x:f>
        <x:v>77.1</x:v>
      </x:c>
      <x:c r="H24" s="49" t="n">
        <x:f t="shared" ref="H24:H25" si="8">'Base Southwest'!J20</x:f>
        <x:v>94.02439024390243</x:v>
      </x:c>
      <x:c r="I24" s="50" t="str">
        <x:f t="shared" ref="I24:I32" si="9">'Base Southwest'!K20</x:f>
        <x:v>🟡 CASI LOGRADO</x:v>
      </x:c>
    </x:row>
    <x:row r="25" ht="27" customHeight="1">
      <x:c r="B25" s="19"/>
      <x:c r="C25" s="20"/>
      <x:c r="D25" s="46" t="str">
        <x:v>Vuelos cancelados</x:v>
      </x:c>
      <x:c r="E25" s="47" t="str">
        <x:v>%</x:v>
      </x:c>
      <x:c r="F25" s="48" t="n">
        <x:f>'Base Southwest'!H21</x:f>
        <x:v>0.2</x:v>
      </x:c>
      <x:c r="G25" s="48" t="n">
        <x:f>'Base Southwest'!I21</x:f>
        <x:v>0.3</x:v>
      </x:c>
      <x:c r="H25" s="49" t="n">
        <x:f t="shared" si="8">'Base Southwest'!J21</x:f>
        <x:v>66.66666666666667</x:v>
      </x:c>
      <x:c r="I25" s="50" t="str">
        <x:f t="shared" si="9">'Base Southwest'!K21</x:f>
        <x:v>🔴 RIESGO ALTO</x:v>
      </x:c>
    </x:row>
    <x:row r="26" ht="27" customHeight="1">
      <x:c r="B26" s="19"/>
      <x:c r="C26" s="21"/>
      <x:c r="D26" s="46" t="str">
        <x:v>Sillas de ruedas/scooters mal manejados por cada 100</x:v>
      </x:c>
      <x:c r="E26" s="47" t="str">
        <x:v>por 100</x:v>
      </x:c>
      <x:c r="F26" s="48" t="n">
        <x:f>'Base Southwest'!H22</x:f>
        <x:v>0.8</x:v>
      </x:c>
      <x:c r="G26" s="48" t="n">
        <x:f>'Base Southwest'!I22</x:f>
        <x:v>0.99</x:v>
      </x:c>
      <x:c r="H26" s="49" t="n">
        <x:f t="shared" ref="H26:H27" si="10">'Base Southwest'!J22</x:f>
        <x:v>80.80808080808082</x:v>
      </x:c>
      <x:c r="I26" s="50" t="str">
        <x:f t="shared" si="9">'Base Southwest'!K22</x:f>
        <x:v>🟠 RIESGO MODERADO</x:v>
      </x:c>
    </x:row>
    <x:row r="27" ht="27" customHeight="1">
      <x:c r="B27" s="19"/>
      <x:c r="C27" s="51" t="str">
        <x:v>OBJ-P2: Aumentar productividad de flota y tecnología</x:v>
      </x:c>
      <x:c r="D27" s="52" t="str">
        <x:v>Tiempo de escala promedio</x:v>
      </x:c>
      <x:c r="E27" s="53" t="str">
        <x:v>minutos</x:v>
      </x:c>
      <x:c r="F27" s="54" t="n">
        <x:f>'Base Southwest'!H23</x:f>
        <x:v>30</x:v>
      </x:c>
      <x:c r="G27" s="54" t="n">
        <x:f>'Base Southwest'!I23</x:f>
        <x:v>34</x:v>
      </x:c>
      <x:c r="H27" s="55" t="n">
        <x:f t="shared" si="10">'Base Southwest'!J23</x:f>
        <x:v>88.23529411764706</x:v>
      </x:c>
      <x:c r="I27" s="56" t="str">
        <x:f t="shared" si="9">'Base Southwest'!K23</x:f>
        <x:v>🟠 RIESGO MODERADO</x:v>
      </x:c>
    </x:row>
    <x:row r="28" ht="27" customHeight="1">
      <x:c r="B28" s="19"/>
      <x:c r="C28" s="20"/>
      <x:c r="D28" s="52" t="str">
        <x:v>Utilización diaria de aeronave</x:v>
      </x:c>
      <x:c r="E28" s="53" t="str">
        <x:v>horas/día</x:v>
      </x:c>
      <x:c r="F28" s="54" t="n">
        <x:f>'Base Southwest'!H24</x:f>
        <x:v>11</x:v>
      </x:c>
      <x:c r="G28" s="54" t="n">
        <x:f>'Base Southwest'!I24</x:f>
        <x:v>10.3</x:v>
      </x:c>
      <x:c r="H28" s="55" t="n">
        <x:f>'Base Southwest'!J24</x:f>
        <x:v>93.63636363636364</x:v>
      </x:c>
      <x:c r="I28" s="56" t="str">
        <x:f t="shared" si="9">'Base Southwest'!K24</x:f>
        <x:v>🟡 CASI LOGRADO</x:v>
      </x:c>
    </x:row>
    <x:row r="29" ht="27" customHeight="1">
      <x:c r="B29" s="19"/>
      <x:c r="C29" s="21"/>
      <x:c r="D29" s="52" t="str">
        <x:v>Vuelos completados / programados</x:v>
      </x:c>
      <x:c r="E29" s="53" t="str">
        <x:v>%</x:v>
      </x:c>
      <x:c r="F29" s="54" t="n">
        <x:f>'Base Southwest'!H25</x:f>
        <x:v>99.5</x:v>
      </x:c>
      <x:c r="G29" s="54" t="n">
        <x:f>'Base Southwest'!I25</x:f>
        <x:v>99.2</x:v>
      </x:c>
      <x:c r="H29" s="55" t="n">
        <x:f t="shared" ref="H29:H30" si="11">'Base Southwest'!J25</x:f>
        <x:v>99.69849246231156</x:v>
      </x:c>
      <x:c r="I29" s="56" t="str">
        <x:f t="shared" si="9">'Base Southwest'!K25</x:f>
        <x:v>🟡 CASI LOGRADO</x:v>
      </x:c>
    </x:row>
    <x:row r="30" ht="27" customHeight="1">
      <x:c r="B30" s="19"/>
      <x:c r="C30" s="45" t="str">
        <x:v>OBJ-P3: Asegurar calidad y resiliencia de proveedores</x:v>
      </x:c>
      <x:c r="D30" s="46" t="str">
        <x:v>Entregas puntuales de proveedores críticos</x:v>
      </x:c>
      <x:c r="E30" s="47" t="str">
        <x:v>%</x:v>
      </x:c>
      <x:c r="F30" s="48" t="n">
        <x:f>'Base Southwest'!H26</x:f>
        <x:v>96</x:v>
      </x:c>
      <x:c r="G30" s="48" t="n">
        <x:f>'Base Southwest'!I26</x:f>
        <x:v>92</x:v>
      </x:c>
      <x:c r="H30" s="49" t="n">
        <x:f t="shared" si="11">'Base Southwest'!J26</x:f>
        <x:v>95.83333333333334</x:v>
      </x:c>
      <x:c r="I30" s="50" t="str">
        <x:f t="shared" si="9">'Base Southwest'!K26</x:f>
        <x:v>🟡 CASI LOGRADO</x:v>
      </x:c>
    </x:row>
    <x:row r="31" ht="27" customHeight="1">
      <x:c r="B31" s="19"/>
      <x:c r="C31" s="20"/>
      <x:c r="D31" s="46" t="str">
        <x:v>Disponibilidad de sistemas operativos</x:v>
      </x:c>
      <x:c r="E31" s="47" t="str">
        <x:v>%</x:v>
      </x:c>
      <x:c r="F31" s="48" t="n">
        <x:f>'Base Southwest'!H27</x:f>
        <x:v>99.9</x:v>
      </x:c>
      <x:c r="G31" s="48" t="n">
        <x:f>'Base Southwest'!I27</x:f>
        <x:v>99.6</x:v>
      </x:c>
      <x:c r="H31" s="49" t="n">
        <x:f t="shared" ref="H31:H32" si="12">'Base Southwest'!J27</x:f>
        <x:v>99.69969969969968</x:v>
      </x:c>
      <x:c r="I31" s="50" t="str">
        <x:f t="shared" si="9">'Base Southwest'!K27</x:f>
        <x:v>🟡 CASI LOGRADO</x:v>
      </x:c>
    </x:row>
    <x:row r="32" ht="27" customHeight="1">
      <x:c r="B32" s="30"/>
      <x:c r="C32" s="21"/>
      <x:c r="D32" s="46" t="str">
        <x:v>Incidentes de mantenimiento no programado</x:v>
      </x:c>
      <x:c r="E32" s="47" t="str">
        <x:v>por 1,000 vuelos</x:v>
      </x:c>
      <x:c r="F32" s="48" t="n">
        <x:f>'Base Southwest'!H28</x:f>
        <x:v>1.3</x:v>
      </x:c>
      <x:c r="G32" s="48" t="n">
        <x:f>'Base Southwest'!I28</x:f>
        <x:v>1.6</x:v>
      </x:c>
      <x:c r="H32" s="49" t="n">
        <x:f t="shared" si="12">'Base Southwest'!J28</x:f>
        <x:v>81.25</x:v>
      </x:c>
      <x:c r="I32" s="50" t="str">
        <x:f t="shared" si="9">'Base Southwest'!K28</x:f>
        <x:v>🟠 RIESGO MODERADO</x:v>
      </x:c>
    </x:row>
    <x:row r="33" ht="6" customHeight="1"/>
    <x:row r="34" ht="27" customHeight="1">
      <x:c r="B34" s="57" t="str">
        <x:v>📚 PERSPECTIVA DE APRENDIZAJE Y CRECIMIENTO</x:v>
      </x:c>
      <x:c r="C34" s="58" t="str">
        <x:v>OBJ-A1: Desarrollar capacidades para el nuevo modelo</x:v>
      </x:c>
      <x:c r="D34" s="59" t="str">
        <x:v>Horas de capacitación por empleado</x:v>
      </x:c>
      <x:c r="E34" s="60" t="str">
        <x:v>horas</x:v>
      </x:c>
      <x:c r="F34" s="61" t="n">
        <x:f>'Base Southwest'!H29</x:f>
        <x:v>40</x:v>
      </x:c>
      <x:c r="G34" s="61" t="n">
        <x:f>'Base Southwest'!I29</x:f>
        <x:v>32</x:v>
      </x:c>
      <x:c r="H34" s="62" t="n">
        <x:f t="shared" ref="H34:H37" si="13">'Base Southwest'!J29</x:f>
        <x:v>80</x:v>
      </x:c>
      <x:c r="I34" s="63" t="str">
        <x:f t="shared" ref="I34:I42" si="14">'Base Southwest'!K29</x:f>
        <x:v>🟠 RIESGO MODERADO</x:v>
      </x:c>
    </x:row>
    <x:row r="35" ht="27" customHeight="1">
      <x:c r="B35" s="19"/>
      <x:c r="C35" s="20"/>
      <x:c r="D35" s="59" t="str">
        <x:v>Personal capacitado en cambios de producto</x:v>
      </x:c>
      <x:c r="E35" s="60" t="str">
        <x:v>%</x:v>
      </x:c>
      <x:c r="F35" s="61" t="n">
        <x:f>'Base Southwest'!H30</x:f>
        <x:v>95</x:v>
      </x:c>
      <x:c r="G35" s="61" t="n">
        <x:f>'Base Southwest'!I30</x:f>
        <x:v>78</x:v>
      </x:c>
      <x:c r="H35" s="62" t="n">
        <x:f t="shared" si="13">'Base Southwest'!J30</x:f>
        <x:v>82.10526315789474</x:v>
      </x:c>
      <x:c r="I35" s="63" t="str">
        <x:f t="shared" si="14">'Base Southwest'!K30</x:f>
        <x:v>🟠 RIESGO MODERADO</x:v>
      </x:c>
    </x:row>
    <x:row r="36" ht="27" customHeight="1">
      <x:c r="B36" s="19"/>
      <x:c r="C36" s="21"/>
      <x:c r="D36" s="59" t="str">
        <x:v>Cumplimiento de capacitación de seguridad</x:v>
      </x:c>
      <x:c r="E36" s="60" t="str">
        <x:v>%</x:v>
      </x:c>
      <x:c r="F36" s="61" t="n">
        <x:f>'Base Southwest'!H31</x:f>
        <x:v>100</x:v>
      </x:c>
      <x:c r="G36" s="61" t="n">
        <x:f>'Base Southwest'!I31</x:f>
        <x:v>94</x:v>
      </x:c>
      <x:c r="H36" s="62" t="n">
        <x:f t="shared" si="13">'Base Southwest'!J31</x:f>
        <x:v>94</x:v>
      </x:c>
      <x:c r="I36" s="63" t="str">
        <x:f t="shared" si="14">'Base Southwest'!K31</x:f>
        <x:v>🟡 CASI LOGRADO</x:v>
      </x:c>
    </x:row>
    <x:row r="37" ht="27" customHeight="1">
      <x:c r="B37" s="19"/>
      <x:c r="C37" s="64" t="str">
        <x:v>OBJ-A2: Cuidar clima, compromiso y retención</x:v>
      </x:c>
      <x:c r="D37" s="65" t="str">
        <x:v>Índice de compromiso del empleado</x:v>
      </x:c>
      <x:c r="E37" s="66" t="str">
        <x:v>puntos / 100</x:v>
      </x:c>
      <x:c r="F37" s="67" t="n">
        <x:f>'Base Southwest'!H32</x:f>
        <x:v>80</x:v>
      </x:c>
      <x:c r="G37" s="67" t="n">
        <x:f>'Base Southwest'!I32</x:f>
        <x:v>73</x:v>
      </x:c>
      <x:c r="H37" s="68" t="n">
        <x:f t="shared" si="13">'Base Southwest'!J32</x:f>
        <x:v>91.25</x:v>
      </x:c>
      <x:c r="I37" s="69" t="str">
        <x:f t="shared" si="14">'Base Southwest'!K32</x:f>
        <x:v>🟡 CASI LOGRADO</x:v>
      </x:c>
    </x:row>
    <x:row r="38" ht="27" customHeight="1">
      <x:c r="B38" s="19"/>
      <x:c r="C38" s="20"/>
      <x:c r="D38" s="65" t="str">
        <x:v>Rotación voluntaria de empleados</x:v>
      </x:c>
      <x:c r="E38" s="66" t="str">
        <x:v>%</x:v>
      </x:c>
      <x:c r="F38" s="67" t="n">
        <x:f>'Base Southwest'!H33</x:f>
        <x:v>12</x:v>
      </x:c>
      <x:c r="G38" s="67" t="n">
        <x:f>'Base Southwest'!I33</x:f>
        <x:v>16</x:v>
      </x:c>
      <x:c r="H38" s="68" t="n">
        <x:f>'Base Southwest'!J33</x:f>
        <x:v>75</x:v>
      </x:c>
      <x:c r="I38" s="69" t="str">
        <x:f t="shared" si="14">'Base Southwest'!K33</x:f>
        <x:v>🟠 RIESGO MODERADO</x:v>
      </x:c>
    </x:row>
    <x:row r="39" ht="27" customHeight="1">
      <x:c r="B39" s="19"/>
      <x:c r="C39" s="21"/>
      <x:c r="D39" s="65" t="str">
        <x:v>Incidentes de seguridad laboral</x:v>
      </x:c>
      <x:c r="E39" s="66" t="str">
        <x:v>por 200 mil horas</x:v>
      </x:c>
      <x:c r="F39" s="67" t="n">
        <x:f>'Base Southwest'!H34</x:f>
        <x:v>2.5</x:v>
      </x:c>
      <x:c r="G39" s="67" t="n">
        <x:f>'Base Southwest'!I34</x:f>
        <x:v>3.1</x:v>
      </x:c>
      <x:c r="H39" s="68" t="n">
        <x:f t="shared" ref="H39:H42" si="15">'Base Southwest'!J34</x:f>
        <x:v>80.64516129032258</x:v>
      </x:c>
      <x:c r="I39" s="69" t="str">
        <x:f t="shared" si="14">'Base Southwest'!K34</x:f>
        <x:v>🟠 RIESGO MODERADO</x:v>
      </x:c>
    </x:row>
    <x:row r="40" ht="27" customHeight="1">
      <x:c r="B40" s="19"/>
      <x:c r="C40" s="58" t="str">
        <x:v>OBJ-A3: Impulsar mejora continua e innovación</x:v>
      </x:c>
      <x:c r="D40" s="59" t="str">
        <x:v>Ideas de mejora implementadas</x:v>
      </x:c>
      <x:c r="E40" s="60" t="str">
        <x:v>ideas/año</x:v>
      </x:c>
      <x:c r="F40" s="61" t="n">
        <x:f>'Base Southwest'!H35</x:f>
        <x:v>60</x:v>
      </x:c>
      <x:c r="G40" s="61" t="n">
        <x:f>'Base Southwest'!I35</x:f>
        <x:v>45</x:v>
      </x:c>
      <x:c r="H40" s="62" t="n">
        <x:f t="shared" si="15">'Base Southwest'!J35</x:f>
        <x:v>75</x:v>
      </x:c>
      <x:c r="I40" s="63" t="str">
        <x:f t="shared" si="14">'Base Southwest'!K35</x:f>
        <x:v>🟠 RIESGO MODERADO</x:v>
      </x:c>
    </x:row>
    <x:row r="41" ht="27" customHeight="1">
      <x:c r="B41" s="19"/>
      <x:c r="C41" s="20"/>
      <x:c r="D41" s="59" t="str">
        <x:v>Vacantes cubiertas internamente</x:v>
      </x:c>
      <x:c r="E41" s="60" t="str">
        <x:v>%</x:v>
      </x:c>
      <x:c r="F41" s="61" t="n">
        <x:f>'Base Southwest'!H36</x:f>
        <x:v>45</x:v>
      </x:c>
      <x:c r="G41" s="61" t="n">
        <x:f>'Base Southwest'!I36</x:f>
        <x:v>36</x:v>
      </x:c>
      <x:c r="H41" s="62" t="n">
        <x:f t="shared" si="15">'Base Southwest'!J36</x:f>
        <x:v>80</x:v>
      </x:c>
      <x:c r="I41" s="63" t="str">
        <x:f t="shared" si="14">'Base Southwest'!K36</x:f>
        <x:v>🟠 RIESGO MODERADO</x:v>
      </x:c>
    </x:row>
    <x:row r="42" ht="27" customHeight="1">
      <x:c r="B42" s="30"/>
      <x:c r="C42" s="21"/>
      <x:c r="D42" s="59" t="str">
        <x:v>Empleados que usan herramientas digitales nuevas</x:v>
      </x:c>
      <x:c r="E42" s="60" t="str">
        <x:v>%</x:v>
      </x:c>
      <x:c r="F42" s="61" t="n">
        <x:f>'Base Southwest'!H37</x:f>
        <x:v>85</x:v>
      </x:c>
      <x:c r="G42" s="61" t="n">
        <x:f>'Base Southwest'!I37</x:f>
        <x:v>72</x:v>
      </x:c>
      <x:c r="H42" s="62" t="n">
        <x:f t="shared" si="15">'Base Southwest'!J37</x:f>
        <x:v>84.70588235294117</x:v>
      </x:c>
      <x:c r="I42" s="63" t="str">
        <x:f t="shared" si="14">'Base Southwest'!K37</x:f>
        <x:v>🟠 RIESGO MODERADO</x:v>
      </x:c>
    </x:row>
    <x:row r="43" ht="6" customHeight="1"/>
    <x:row r="44" ht="24" customHeight="1">
      <x:c r="B44" s="70" t="str">
        <x:v>ÍNDICE GLOBAL DE CUMPLIMIENTO (Promedio de los 36 KPIs)</x:v>
      </x:c>
      <x:c r="C44" s="71"/>
      <x:c r="D44" s="71"/>
      <x:c r="E44" s="71"/>
      <x:c r="F44" s="71"/>
      <x:c r="G44" s="72"/>
      <x:c r="H44" s="170" t="n">
        <x:f>AVERAGE(H4:H42)/100</x:f>
        <x:v>0.8971003923965775</x:v>
      </x:c>
      <x:c r="I44" s="74" t="str">
        <x:v>→ Ver hoja 📈 Dashboard</x:v>
      </x:c>
    </x:row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</x:sheetData>
  <x:mergeCells>
    <x:mergeCell ref="C27:C29"/>
    <x:mergeCell ref="C34:C36"/>
    <x:mergeCell ref="C30:C32"/>
    <x:mergeCell ref="B34:B42"/>
    <x:mergeCell ref="B24:B32"/>
    <x:mergeCell ref="B14:B22"/>
    <x:mergeCell ref="B4:B12"/>
    <x:mergeCell ref="C17:C19"/>
    <x:mergeCell ref="C14:C16"/>
    <x:mergeCell ref="C7:C9"/>
    <x:mergeCell ref="C4:C6"/>
    <x:mergeCell ref="H44:I44"/>
    <x:mergeCell ref="B44:G44"/>
    <x:mergeCell ref="B2:I2"/>
    <x:mergeCell ref="C37:C39"/>
    <x:mergeCell ref="C24:C26"/>
    <x:mergeCell ref="C20:C22"/>
    <x:mergeCell ref="C10:C12"/>
    <x:mergeCell ref="C40:C42"/>
  </x:mergeCells>
  <x:conditionalFormatting sqref="I4:I42">
    <x:cfRule type="expression" dxfId="0" priority="1">
      <x:formula>ISNUMBER(SEARCH("SUPERA META",I4))</x:formula>
    </x:cfRule>
  </x:conditionalFormatting>
  <x:conditionalFormatting sqref="I4:I42">
    <x:cfRule type="expression" dxfId="1" priority="2">
      <x:formula>ISNUMBER(SEARCH("LOGRADO",I4))</x:formula>
    </x:cfRule>
  </x:conditionalFormatting>
  <x:conditionalFormatting sqref="I4:I42">
    <x:cfRule type="expression" dxfId="2" priority="3">
      <x:formula>ISNUMBER(SEARCH("CASI LOGRADO",I4))</x:formula>
    </x:cfRule>
  </x:conditionalFormatting>
  <x:conditionalFormatting sqref="I4:I42">
    <x:cfRule type="expression" dxfId="3" priority="4">
      <x:formula>ISNUMBER(SEARCH("RIESGO MODERADO",I4))</x:formula>
    </x:cfRule>
  </x:conditionalFormatting>
  <x:conditionalFormatting sqref="I4:I42">
    <x:cfRule type="expression" dxfId="4" priority="5">
      <x:formula>ISNUMBER(SEARCH("RIESGO ALTO",I4))</x:formula>
    </x:cfRule>
  </x:conditionalFormatting>
  <x:conditionalFormatting sqref="I4:I42">
    <x:cfRule type="expression" dxfId="5" priority="6">
      <x:formula>ISNUMBER(SEARCH("CRÍTICO",I4))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4.430000305175781" defaultRowHeight="15"/>
  <x:cols>
    <x:col min="1" max="1" width="3" customWidth="1"/>
    <x:col min="2" max="2" width="22" customWidth="1"/>
    <x:col min="3" max="3" width="40" customWidth="1"/>
    <x:col min="4" max="4" width="11" customWidth="1"/>
    <x:col min="5" max="6" width="13" customWidth="1"/>
    <x:col min="7" max="7" width="15" customWidth="1"/>
    <x:col min="8" max="8" width="18" customWidth="1"/>
    <x:col min="9" max="9" width="28" customWidth="1"/>
    <x:col min="10" max="11" width="8.710000038146973" customWidth="1"/>
  </x:cols>
  <x:sheetData>
    <x:row r="1" ht="33.75" customHeight="1">
      <x:c r="B1" s="75" t="str">
        <x:v>💰 PERSPECTIVA FINANCIERA — Southwest Airlines · Base 2025</x:v>
      </x:c>
      <x:c r="C1" s="10"/>
      <x:c r="D1" s="10"/>
      <x:c r="E1" s="10"/>
      <x:c r="F1" s="10"/>
      <x:c r="G1" s="10"/>
      <x:c r="H1" s="10"/>
      <x:c r="I1" s="2"/>
    </x:row>
    <x:row r="2" ht="19.5" customHeight="1">
      <x:c r="B2" s="76" t="str">
        <x:v>Objetivo Estratégico</x:v>
      </x:c>
      <x:c r="C2" s="76" t="str">
        <x:v>Indicador (KPI)</x:v>
      </x:c>
      <x:c r="D2" s="76" t="str">
        <x:v>Unidad</x:v>
      </x:c>
      <x:c r="E2" s="76" t="str">
        <x:v>Meta propuesta</x:v>
      </x:c>
      <x:c r="F2" s="76" t="str">
        <x:v>Real / resultado</x:v>
      </x:c>
      <x:c r="G2" s="76" t="str">
        <x:v>% Cumpl.</x:v>
      </x:c>
      <x:c r="H2" s="76" t="str">
        <x:v>Estado</x:v>
      </x:c>
      <x:c r="I2" s="76" t="str">
        <x:v>Análisis / acción recomendada</x:v>
      </x:c>
    </x:row>
    <x:row r="3" ht="27.75" customHeight="1">
      <x:c r="B3" s="77" t="str">
        <x:v>OBJ-F1: Mejorar la rentabilidad sostenible</x:v>
      </x:c>
      <x:c r="C3" s="14" t="str">
        <x:v>Margen operativo GAAP</x:v>
      </x:c>
      <x:c r="D3" s="15" t="str">
        <x:v>%</x:v>
      </x:c>
      <x:c r="E3" s="16" t="n">
        <x:f>'📊 BSC Completo'!F4</x:f>
        <x:v>2</x:v>
      </x:c>
      <x:c r="F3" s="16" t="n">
        <x:f>'📊 BSC Completo'!G4</x:f>
        <x:v>1.5</x:v>
      </x:c>
      <x:c r="G3" s="78" t="n">
        <x:f t="shared" ref="G3:G5" si="1">'📊 BSC Completo'!H4</x:f>
        <x:v>75</x:v>
      </x:c>
      <x:c r="H3" s="18" t="str">
        <x:f t="shared" ref="H3:H5" si="2">'📊 BSC Completo'!I4</x:f>
        <x:v>🟠 RIESGO MODERADO</x:v>
      </x:c>
      <x:c r="I3" s="79" t="str">
        <x:v>Desglosa el margen por fuente de ingreso y costo controlable; prioriza medidas recurrentes que acerquen el resultado a la meta.</x:v>
      </x:c>
    </x:row>
    <x:row r="4" ht="27.75" customHeight="1">
      <x:c r="B4" s="80"/>
      <x:c r="C4" s="14" t="str">
        <x:v>Utilidad neta GAAP</x:v>
      </x:c>
      <x:c r="D4" s="15" t="str">
        <x:v>US$ MM</x:v>
      </x:c>
      <x:c r="E4" s="16" t="n">
        <x:f>'📊 BSC Completo'!F5</x:f>
        <x:v>500</x:v>
      </x:c>
      <x:c r="F4" s="16" t="n">
        <x:f>'📊 BSC Completo'!G5</x:f>
        <x:v>441</x:v>
      </x:c>
      <x:c r="G4" s="78" t="n">
        <x:f t="shared" si="1">'📊 BSC Completo'!H5</x:f>
        <x:v>88.2</x:v>
      </x:c>
      <x:c r="H4" s="18" t="str">
        <x:f t="shared" si="2">'📊 BSC Completo'!I5</x:f>
        <x:v>🟠 RIESGO MODERADO</x:v>
      </x:c>
      <x:c r="I4" s="79" t="str">
        <x:v>Concilia resultado operativo, intereses e impuestos; asigna responsables a las palancas sostenibles que eleven la utilidad neta.</x:v>
      </x:c>
    </x:row>
    <x:row r="5" ht="27.75" customHeight="1">
      <x:c r="B5" s="81"/>
      <x:c r="C5" s="14" t="str">
        <x:v>EBIT ajustado</x:v>
      </x:c>
      <x:c r="D5" s="15" t="str">
        <x:v>US$ MM</x:v>
      </x:c>
      <x:c r="E5" s="16" t="n">
        <x:f>'📊 BSC Completo'!F6</x:f>
        <x:v>600</x:v>
      </x:c>
      <x:c r="F5" s="16" t="n">
        <x:f>'📊 BSC Completo'!G6</x:f>
        <x:v>574</x:v>
      </x:c>
      <x:c r="G5" s="78" t="n">
        <x:f t="shared" si="1">'📊 BSC Completo'!H6</x:f>
        <x:v>95.66666666666667</x:v>
      </x:c>
      <x:c r="H5" s="18" t="str">
        <x:f t="shared" si="2">'📊 BSC Completo'!I6</x:f>
        <x:v>🟡 CASI LOGRADO</x:v>
      </x:c>
      <x:c r="I5" s="79" t="str">
        <x:v>Protege las iniciativas de transformación que elevan EBIT y reconcilia los ajustes con el resultado GAAP antes de reportar.</x:v>
      </x:c>
    </x:row>
    <x:row r="6" ht="4.5" customHeight="1"/>
    <x:row r="7" ht="27.75" customHeight="1">
      <x:c r="B7" s="77" t="str">
        <x:v>OBJ-F2: Impulsar ingresos y demanda de pasajeros</x:v>
      </x:c>
      <x:c r="C7" s="24" t="str">
        <x:v>Ingresos operativos</x:v>
      </x:c>
      <x:c r="D7" s="25" t="str">
        <x:v>US$ mil MM</x:v>
      </x:c>
      <x:c r="E7" s="26" t="n">
        <x:f>'📊 BSC Completo'!F7</x:f>
        <x:v>29</x:v>
      </x:c>
      <x:c r="F7" s="26" t="n">
        <x:f>'📊 BSC Completo'!G7</x:f>
        <x:v>28.1</x:v>
      </x:c>
      <x:c r="G7" s="82" t="n">
        <x:f t="shared" ref="G7:G9" si="3">'📊 BSC Completo'!H7</x:f>
        <x:v>96.89655172413794</x:v>
      </x:c>
      <x:c r="H7" s="28" t="str">
        <x:f t="shared" ref="H7:H9" si="4">'📊 BSC Completo'!I7</x:f>
        <x:v>🟡 CASI LOGRADO</x:v>
      </x:c>
      <x:c r="I7" s="83" t="str">
        <x:v>Analiza rutas, yield, ocupación y capacidad; concentra el crecimiento en mercados que mantengan rentabilidad.</x:v>
      </x:c>
    </x:row>
    <x:row r="8" ht="27.75" customHeight="1">
      <x:c r="B8" s="80"/>
      <x:c r="C8" s="24" t="str">
        <x:v>Ingresos de pasajeros</x:v>
      </x:c>
      <x:c r="D8" s="25" t="str">
        <x:v>US$ mil MM</x:v>
      </x:c>
      <x:c r="E8" s="26" t="n">
        <x:f>'📊 BSC Completo'!F8</x:f>
        <x:v>26</x:v>
      </x:c>
      <x:c r="F8" s="26" t="n">
        <x:f>'📊 BSC Completo'!G8</x:f>
        <x:v>25.5</x:v>
      </x:c>
      <x:c r="G8" s="82" t="n">
        <x:f t="shared" si="3">'📊 BSC Completo'!H8</x:f>
        <x:v>98.07692307692307</x:v>
      </x:c>
      <x:c r="H8" s="28" t="str">
        <x:f t="shared" si="4">'📊 BSC Completo'!I8</x:f>
        <x:v>🟡 CASI LOGRADO</x:v>
      </x:c>
      <x:c r="I8" s="83" t="str">
        <x:v>Revisa yield y ocupación por ruta; ajusta capacidad y oferta para elevar ingresos sin sacrificar margen.</x:v>
      </x:c>
    </x:row>
    <x:row r="9" ht="27.75" customHeight="1">
      <x:c r="B9" s="81"/>
      <x:c r="C9" s="24" t="str">
        <x:v>Pasajeros transportados</x:v>
      </x:c>
      <x:c r="D9" s="25" t="str">
        <x:v>millones</x:v>
      </x:c>
      <x:c r="E9" s="26" t="n">
        <x:f>'📊 BSC Completo'!F9</x:f>
        <x:v>140</x:v>
      </x:c>
      <x:c r="F9" s="26" t="n">
        <x:f>'📊 BSC Completo'!G9</x:f>
        <x:v>134.11</x:v>
      </x:c>
      <x:c r="G9" s="82" t="n">
        <x:f t="shared" si="3">'📊 BSC Completo'!H9</x:f>
        <x:v>95.79285714285716</x:v>
      </x:c>
      <x:c r="H9" s="28" t="str">
        <x:f t="shared" si="4">'📊 BSC Completo'!I9</x:f>
        <x:v>🟡 CASI LOGRADO</x:v>
      </x:c>
      <x:c r="I9" s="83" t="str">
        <x:v>Segmenta pasajeros por ruta y temporada; alinea capacidad con demanda y mide el efecto en margen unitario.</x:v>
      </x:c>
    </x:row>
    <x:row r="10" ht="4.5" customHeight="1"/>
    <x:row r="11" ht="27.75" customHeight="1">
      <x:c r="B11" s="77" t="str">
        <x:v>OBJ-F3: Controlar costos unitarios y combustible</x:v>
      </x:c>
      <x:c r="C11" s="14" t="str">
        <x:v>Gastos operativos por ASM</x:v>
      </x:c>
      <x:c r="D11" s="15" t="str">
        <x:v>centavos</x:v>
      </x:c>
      <x:c r="E11" s="16" t="n">
        <x:f>'📊 BSC Completo'!F10</x:f>
        <x:v>15</x:v>
      </x:c>
      <x:c r="F11" s="16" t="n">
        <x:f>'📊 BSC Completo'!G10</x:f>
        <x:v>15.35</x:v>
      </x:c>
      <x:c r="G11" s="78" t="n">
        <x:f t="shared" ref="G11:G12" si="5">'📊 BSC Completo'!H10</x:f>
        <x:v>97.71986970684038</x:v>
      </x:c>
      <x:c r="H11" s="18" t="str">
        <x:f t="shared" ref="H11:H13" si="6">'📊 BSC Completo'!I10</x:f>
        <x:v>🟡 CASI LOGRADO</x:v>
      </x:c>
      <x:c r="I11" s="79" t="str">
        <x:v>Separa combustible y costos controlables; compara productividad por base y ejecuta medidas de eficiencia en costo por ASM.</x:v>
      </x:c>
    </x:row>
    <x:row r="12" ht="27.75" customHeight="1">
      <x:c r="B12" s="80"/>
      <x:c r="C12" s="14" t="str">
        <x:v>Gastos por ASM sin combustible</x:v>
      </x:c>
      <x:c r="D12" s="15" t="str">
        <x:v>centavos</x:v>
      </x:c>
      <x:c r="E12" s="16" t="n">
        <x:f>'📊 BSC Completo'!F11</x:f>
        <x:v>12</x:v>
      </x:c>
      <x:c r="F12" s="16" t="n">
        <x:f>'📊 BSC Completo'!G11</x:f>
        <x:v>12.44</x:v>
      </x:c>
      <x:c r="G12" s="78" t="n">
        <x:f t="shared" si="5">'📊 BSC Completo'!H11</x:f>
        <x:v>96.46302250803859</x:v>
      </x:c>
      <x:c r="H12" s="18" t="str">
        <x:f t="shared" si="6">'📊 BSC Completo'!I11</x:f>
        <x:v>🟡 CASI LOGRADO</x:v>
      </x:c>
      <x:c r="I12" s="79" t="str">
        <x:v>Analiza salarios, tasas aeroportuarias y mantenimiento por ASM; prioriza eficiencias que protejan operación y seguridad.</x:v>
      </x:c>
    </x:row>
    <x:row r="13" ht="27.75" customHeight="1">
      <x:c r="B13" s="81"/>
      <x:c r="C13" s="14" t="str">
        <x:v>Combustible por 1,000 ASM</x:v>
      </x:c>
      <x:c r="D13" s="15" t="str">
        <x:v>galones</x:v>
      </x:c>
      <x:c r="E13" s="16" t="n">
        <x:f>'📊 BSC Completo'!F12</x:f>
        <x:v>11.8</x:v>
      </x:c>
      <x:c r="F13" s="16" t="n">
        <x:f>'📊 BSC Completo'!G12</x:f>
        <x:v>12.05</x:v>
      </x:c>
      <x:c r="G13" s="78" t="n">
        <x:f>'📊 BSC Completo'!H12</x:f>
        <x:v>97.9253112033195</x:v>
      </x:c>
      <x:c r="H13" s="18" t="str">
        <x:f t="shared" si="6">'📊 BSC Completo'!I12</x:f>
        <x:v>🟡 CASI LOGRADO</x:v>
      </x:c>
      <x:c r="I13" s="79" t="str">
        <x:v>Valida unidades y fórmula; compara consumo de combustible por flota y ruta para identificar oportunidades de eficiencia.</x:v>
      </x:c>
    </x:row>
    <x:row r="14" ht="4.5" customHeight="1"/>
    <x:row r="16" ht="19.5" customHeight="1">
      <x:c r="B16" s="84" t="str">
        <x:v>Metas propuestas para fines académicos. Las estimaciones de “Base Southwest” son referenciales y no representan resultados oficiales de la empresa.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</x:sheetData>
  <x:mergeCells>
    <x:mergeCell ref="B16:I16"/>
    <x:mergeCell ref="B11:B13"/>
    <x:mergeCell ref="B7:B9"/>
    <x:mergeCell ref="B3:B5"/>
    <x:mergeCell ref="B1:I1"/>
  </x:mergeCells>
  <x:conditionalFormatting sqref="H3:H16">
    <x:cfRule type="expression" dxfId="0" priority="1">
      <x:formula>ISNUMBER(SEARCH("SUPERA META",H3))</x:formula>
    </x:cfRule>
  </x:conditionalFormatting>
  <x:conditionalFormatting sqref="H3:H16">
    <x:cfRule type="expression" dxfId="1" priority="2">
      <x:formula>ISNUMBER(SEARCH("LOGRADO",H3))</x:formula>
    </x:cfRule>
  </x:conditionalFormatting>
  <x:conditionalFormatting sqref="H3:H16">
    <x:cfRule type="expression" dxfId="2" priority="3">
      <x:formula>ISNUMBER(SEARCH("CASI LOGRADO",H3))</x:formula>
    </x:cfRule>
  </x:conditionalFormatting>
  <x:conditionalFormatting sqref="H3:H16">
    <x:cfRule type="expression" dxfId="3" priority="4">
      <x:formula>ISNUMBER(SEARCH("RIESGO MODERADO",H3))</x:formula>
    </x:cfRule>
  </x:conditionalFormatting>
  <x:conditionalFormatting sqref="H3:H16">
    <x:cfRule type="expression" dxfId="4" priority="5">
      <x:formula>ISNUMBER(SEARCH("RIESGO ALTO",H3))</x:formula>
    </x:cfRule>
  </x:conditionalFormatting>
  <x:conditionalFormatting sqref="H3:H16">
    <x:cfRule type="expression" dxfId="5" priority="6">
      <x:formula>ISNUMBER(SEARCH("CRÍTICO",H3))</x:formula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4.430000305175781" defaultRowHeight="15"/>
  <x:cols>
    <x:col min="1" max="1" width="3" customWidth="1"/>
    <x:col min="2" max="2" width="22" customWidth="1"/>
    <x:col min="3" max="3" width="40" customWidth="1"/>
    <x:col min="4" max="4" width="11" customWidth="1"/>
    <x:col min="5" max="6" width="13" customWidth="1"/>
    <x:col min="7" max="7" width="15" customWidth="1"/>
    <x:col min="8" max="8" width="18" customWidth="1"/>
    <x:col min="9" max="9" width="28" customWidth="1"/>
    <x:col min="10" max="11" width="8.710000038146973" customWidth="1"/>
  </x:cols>
  <x:sheetData>
    <x:row r="1" ht="33.75" customHeight="1">
      <x:c r="B1" s="85" t="str">
        <x:v>👥 PERSPECTIVA DE CLIENTES — Southwest Airlines · Base 2025</x:v>
      </x:c>
      <x:c r="C1" s="10"/>
      <x:c r="D1" s="10"/>
      <x:c r="E1" s="10"/>
      <x:c r="F1" s="10"/>
      <x:c r="G1" s="10"/>
      <x:c r="H1" s="10"/>
      <x:c r="I1" s="2"/>
    </x:row>
    <x:row r="2" ht="19.5" customHeight="1">
      <x:c r="B2" s="76" t="str">
        <x:v>Objetivo Estratégico</x:v>
      </x:c>
      <x:c r="C2" s="76" t="str">
        <x:v>Indicador (KPI)</x:v>
      </x:c>
      <x:c r="D2" s="76" t="str">
        <x:v>Unidad</x:v>
      </x:c>
      <x:c r="E2" s="76" t="str">
        <x:v>Meta propuesta</x:v>
      </x:c>
      <x:c r="F2" s="76" t="str">
        <x:v>Real / resultado</x:v>
      </x:c>
      <x:c r="G2" s="76" t="str">
        <x:v>% Cumpl.</x:v>
      </x:c>
      <x:c r="H2" s="76" t="str">
        <x:v>Estado</x:v>
      </x:c>
      <x:c r="I2" s="76" t="str">
        <x:v>Análisis / acción recomendada</x:v>
      </x:c>
    </x:row>
    <x:row r="3" ht="27.75" customHeight="1">
      <x:c r="B3" s="86" t="str">
        <x:v>OBJ-C1: Ofrecer una experiencia confiable y satisfactoria</x:v>
      </x:c>
      <x:c r="C3" s="33" t="str">
        <x:v>NPS de pasajeros</x:v>
      </x:c>
      <x:c r="D3" s="34" t="str">
        <x:v>puntos</x:v>
      </x:c>
      <x:c r="E3" s="35" t="n">
        <x:f>'📊 BSC Completo'!F14</x:f>
        <x:v>60</x:v>
      </x:c>
      <x:c r="F3" s="35" t="n">
        <x:f>'📊 BSC Completo'!G14</x:f>
        <x:v>52</x:v>
      </x:c>
      <x:c r="G3" s="87" t="n">
        <x:f t="shared" ref="G3:G4" si="1">'📊 BSC Completo'!H14</x:f>
        <x:v>86.66666666666667</x:v>
      </x:c>
      <x:c r="H3" s="37" t="str">
        <x:f t="shared" ref="H3:H5" si="2">'📊 BSC Completo'!I14</x:f>
        <x:v>🟠 RIESGO MODERADO</x:v>
      </x:c>
      <x:c r="I3" s="88" t="str">
        <x:v>Clasifica comentarios por demora, equipaje y atención; prioriza acciones para los principales detractores y mide el NPS por segmento.</x:v>
      </x:c>
    </x:row>
    <x:row r="4" ht="27.75" customHeight="1">
      <x:c r="B4" s="80"/>
      <x:c r="C4" s="33" t="str">
        <x:v>CSAT post-vuelo</x:v>
      </x:c>
      <x:c r="D4" s="34" t="str">
        <x:v>%</x:v>
      </x:c>
      <x:c r="E4" s="35" t="n">
        <x:f>'📊 BSC Completo'!F15</x:f>
        <x:v>90</x:v>
      </x:c>
      <x:c r="F4" s="35" t="n">
        <x:f>'📊 BSC Completo'!G15</x:f>
        <x:v>86</x:v>
      </x:c>
      <x:c r="G4" s="87" t="n">
        <x:f t="shared" si="1">'📊 BSC Completo'!H15</x:f>
        <x:v>95.55555555555556</x:v>
      </x:c>
      <x:c r="H4" s="37" t="str">
        <x:f t="shared" si="2">'📊 BSC Completo'!I15</x:f>
        <x:v>🟡 CASI LOGRADO</x:v>
      </x:c>
      <x:c r="I4" s="88" t="str">
        <x:v>Desglosa satisfacción por etapa del viaje y canal; prueba mejoras de atención y recuperación y mide su efecto en CSAT.</x:v>
      </x:c>
    </x:row>
    <x:row r="5" ht="27.75" customHeight="1">
      <x:c r="B5" s="81"/>
      <x:c r="C5" s="33" t="str">
        <x:v>Ranking de aerolíneas en EE. UU. (WSJ)</x:v>
      </x:c>
      <x:c r="D5" s="34" t="str">
        <x:v>posición</x:v>
      </x:c>
      <x:c r="E5" s="35" t="n">
        <x:f>'📊 BSC Completo'!F16</x:f>
        <x:v>1</x:v>
      </x:c>
      <x:c r="F5" s="35" t="n">
        <x:f>'📊 BSC Completo'!G16</x:f>
        <x:v>1</x:v>
      </x:c>
      <x:c r="G5" s="87" t="n">
        <x:f>'📊 BSC Completo'!H16</x:f>
        <x:v>100</x:v>
      </x:c>
      <x:c r="H5" s="37" t="str">
        <x:f t="shared" si="2">'📊 BSC Completo'!I16</x:f>
        <x:v>🟢 LOGRADO</x:v>
      </x:c>
      <x:c r="I5" s="88" t="str">
        <x:v>Monitorea los criterios y la metodología del ranking WSJ; conserva fortalezas y corrige categorías con oportunidad.</x:v>
      </x:c>
    </x:row>
    <x:row r="6" ht="4.5" customHeight="1"/>
    <x:row r="7" ht="27.75" customHeight="1">
      <x:c r="B7" s="86" t="str">
        <x:v>OBJ-C2: Fortalecer lealtad y recompra</x:v>
      </x:c>
      <x:c r="C7" s="39" t="str">
        <x:v>Tasa de recompra de pasajeros</x:v>
      </x:c>
      <x:c r="D7" s="40" t="str">
        <x:v>%</x:v>
      </x:c>
      <x:c r="E7" s="41" t="n">
        <x:f>'📊 BSC Completo'!F17</x:f>
        <x:v>82</x:v>
      </x:c>
      <x:c r="F7" s="41" t="n">
        <x:f>'📊 BSC Completo'!G17</x:f>
        <x:v>78</x:v>
      </x:c>
      <x:c r="G7" s="89" t="n">
        <x:f t="shared" ref="G7:G8" si="3">'📊 BSC Completo'!H17</x:f>
        <x:v>95.1219512195122</x:v>
      </x:c>
      <x:c r="H7" s="43" t="str">
        <x:f t="shared" ref="H7:H9" si="4">'📊 BSC Completo'!I17</x:f>
        <x:v>🟡 CASI LOGRADO</x:v>
      </x:c>
      <x:c r="I7" s="90" t="str">
        <x:v>Segmenta recompra por cohorte, ruta y uso de beneficios; prueba acciones de retención y mide la respuesta.</x:v>
      </x:c>
    </x:row>
    <x:row r="8" ht="27.75" customHeight="1">
      <x:c r="B8" s="80"/>
      <x:c r="C8" s="39" t="str">
        <x:v>Retención de miembros Rapid Rewards</x:v>
      </x:c>
      <x:c r="D8" s="40" t="str">
        <x:v>%</x:v>
      </x:c>
      <x:c r="E8" s="41" t="n">
        <x:f>'📊 BSC Completo'!F18</x:f>
        <x:v>88</x:v>
      </x:c>
      <x:c r="F8" s="41" t="n">
        <x:f>'📊 BSC Completo'!G18</x:f>
        <x:v>84</x:v>
      </x:c>
      <x:c r="G8" s="89" t="n">
        <x:f t="shared" si="3">'📊 BSC Completo'!H18</x:f>
        <x:v>95.45454545454545</x:v>
      </x:c>
      <x:c r="H8" s="43" t="str">
        <x:f t="shared" si="4">'📊 BSC Completo'!I18</x:f>
        <x:v>🟡 CASI LOGRADO</x:v>
      </x:c>
      <x:c r="I8" s="90" t="str">
        <x:v>Identifica señales de abandono en Rapid Rewards; implementa comunicaciones o beneficios segmentados y evalúa la retención.</x:v>
      </x:c>
    </x:row>
    <x:row r="9" ht="27.75" customHeight="1">
      <x:c r="B9" s="81"/>
      <x:c r="C9" s="39" t="str">
        <x:v>Equipaje mal manejado por cada 100 piezas</x:v>
      </x:c>
      <x:c r="D9" s="40" t="str">
        <x:v>por 100</x:v>
      </x:c>
      <x:c r="E9" s="41" t="n">
        <x:f>'📊 BSC Completo'!F19</x:f>
        <x:v>0.28</x:v>
      </x:c>
      <x:c r="F9" s="41" t="n">
        <x:f>'📊 BSC Completo'!G19</x:f>
        <x:v>0.3</x:v>
      </x:c>
      <x:c r="G9" s="89" t="n">
        <x:f>'📊 BSC Completo'!H19</x:f>
        <x:v>93.33333333333334</x:v>
      </x:c>
      <x:c r="H9" s="43" t="str">
        <x:f t="shared" si="4">'📊 BSC Completo'!I19</x:f>
        <x:v>🟡 CASI LOGRADO</x:v>
      </x:c>
      <x:c r="I9" s="90" t="str">
        <x:v>Identifica estaciones y transferencias con más incidencias; refuerza el escaneo y seguimiento de cada pieza de equipaje.</x:v>
      </x:c>
    </x:row>
    <x:row r="10" ht="4.5" customHeight="1"/>
    <x:row r="11" ht="27.75" customHeight="1">
      <x:c r="B11" s="86" t="str">
        <x:v>OBJ-C3: Ampliar la base y el acceso de clientes</x:v>
      </x:c>
      <x:c r="C11" s="33" t="str">
        <x:v>Nuevos miembros de Rapid Rewards</x:v>
      </x:c>
      <x:c r="D11" s="34" t="str">
        <x:v>millones</x:v>
      </x:c>
      <x:c r="E11" s="35" t="n">
        <x:f>'📊 BSC Completo'!F20</x:f>
        <x:v>13.5</x:v>
      </x:c>
      <x:c r="F11" s="35" t="n">
        <x:f>'📊 BSC Completo'!G20</x:f>
        <x:v>12</x:v>
      </x:c>
      <x:c r="G11" s="87" t="n">
        <x:f t="shared" ref="G11:G12" si="5">'📊 BSC Completo'!H20</x:f>
        <x:v>88.88888888888889</x:v>
      </x:c>
      <x:c r="H11" s="37" t="str">
        <x:f t="shared" ref="H11:H13" si="6">'📊 BSC Completo'!I20</x:f>
        <x:v>🟠 RIESGO MODERADO</x:v>
      </x:c>
      <x:c r="I11" s="88" t="str">
        <x:v>Mejora la conversión de inscripción y mide costo de adquisición y actividad posterior, además del número de altas.</x:v>
      </x:c>
    </x:row>
    <x:row r="12" ht="27.75" customHeight="1">
      <x:c r="B12" s="80"/>
      <x:c r="C12" s="33" t="str">
        <x:v>Participación en mercado doméstico</x:v>
      </x:c>
      <x:c r="D12" s="34" t="str">
        <x:v>%</x:v>
      </x:c>
      <x:c r="E12" s="35" t="n">
        <x:f>'📊 BSC Completo'!F21</x:f>
        <x:v>17</x:v>
      </x:c>
      <x:c r="F12" s="35" t="n">
        <x:f>'📊 BSC Completo'!G21</x:f>
        <x:v>16.5</x:v>
      </x:c>
      <x:c r="G12" s="87" t="n">
        <x:f t="shared" si="5">'📊 BSC Completo'!H21</x:f>
        <x:v>97.05882352941177</x:v>
      </x:c>
      <x:c r="H12" s="37" t="str">
        <x:f t="shared" si="6">'📊 BSC Completo'!I21</x:f>
        <x:v>🟡 CASI LOGRADO</x:v>
      </x:c>
      <x:c r="I12" s="88" t="str">
        <x:v>Analiza cuota por mercado junto con tarifas y capacidad; prioriza rutas con potencial de crecimiento rentable.</x:v>
      </x:c>
    </x:row>
    <x:row r="13" ht="27.75" customHeight="1">
      <x:c r="B13" s="81"/>
      <x:c r="C13" s="33" t="str">
        <x:v>Reservas digitales / total de reservas</x:v>
      </x:c>
      <x:c r="D13" s="34" t="str">
        <x:v>%</x:v>
      </x:c>
      <x:c r="E13" s="35" t="n">
        <x:f>'📊 BSC Completo'!F22</x:f>
        <x:v>88</x:v>
      </x:c>
      <x:c r="F13" s="35" t="n">
        <x:f>'📊 BSC Completo'!G22</x:f>
        <x:v>82</x:v>
      </x:c>
      <x:c r="G13" s="87" t="n">
        <x:f>'📊 BSC Completo'!H22</x:f>
        <x:v>93.18181818181817</x:v>
      </x:c>
      <x:c r="H13" s="37" t="str">
        <x:f t="shared" si="6">'📊 BSC Completo'!I22</x:f>
        <x:v>🟡 CASI LOGRADO</x:v>
      </x:c>
      <x:c r="I13" s="88" t="str">
        <x:v>Revisa abandono y errores en reservas digitales; simplifica el flujo y monitorea conversión y reservas completadas.</x:v>
      </x:c>
    </x:row>
    <x:row r="14" ht="4.5" customHeight="1"/>
    <x:row r="16" ht="19.5" customHeight="1">
      <x:c r="B16" s="84" t="str">
        <x:v>Metas propuestas para fines académicos. Las estimaciones de “Base Southwest” son referenciales y no representan resultados oficiales de la empresa.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</x:sheetData>
  <x:mergeCells>
    <x:mergeCell ref="B16:I16"/>
    <x:mergeCell ref="B11:B13"/>
    <x:mergeCell ref="B7:B9"/>
    <x:mergeCell ref="B3:B5"/>
    <x:mergeCell ref="B1:I1"/>
  </x:mergeCells>
  <x:conditionalFormatting sqref="H3:H16">
    <x:cfRule type="expression" dxfId="0" priority="1">
      <x:formula>ISNUMBER(SEARCH("SUPERA META",H3))</x:formula>
    </x:cfRule>
  </x:conditionalFormatting>
  <x:conditionalFormatting sqref="H3:H16">
    <x:cfRule type="expression" dxfId="1" priority="2">
      <x:formula>ISNUMBER(SEARCH("LOGRADO",H3))</x:formula>
    </x:cfRule>
  </x:conditionalFormatting>
  <x:conditionalFormatting sqref="H3:H16">
    <x:cfRule type="expression" dxfId="2" priority="3">
      <x:formula>ISNUMBER(SEARCH("CASI LOGRADO",H3))</x:formula>
    </x:cfRule>
  </x:conditionalFormatting>
  <x:conditionalFormatting sqref="H3:H16">
    <x:cfRule type="expression" dxfId="3" priority="4">
      <x:formula>ISNUMBER(SEARCH("RIESGO MODERADO",H3))</x:formula>
    </x:cfRule>
  </x:conditionalFormatting>
  <x:conditionalFormatting sqref="H3:H16">
    <x:cfRule type="expression" dxfId="4" priority="5">
      <x:formula>ISNUMBER(SEARCH("RIESGO ALTO",H3))</x:formula>
    </x:cfRule>
  </x:conditionalFormatting>
  <x:conditionalFormatting sqref="H3:H16">
    <x:cfRule type="expression" dxfId="5" priority="6">
      <x:formula>ISNUMBER(SEARCH("CRÍTICO",H3))</x:formula>
    </x:cfRule>
  </x:conditionalFormatting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4.430000305175781" defaultRowHeight="15"/>
  <x:cols>
    <x:col min="1" max="1" width="3" customWidth="1"/>
    <x:col min="2" max="2" width="22" customWidth="1"/>
    <x:col min="3" max="3" width="40" customWidth="1"/>
    <x:col min="4" max="4" width="11" customWidth="1"/>
    <x:col min="5" max="6" width="13" customWidth="1"/>
    <x:col min="7" max="7" width="15" customWidth="1"/>
    <x:col min="8" max="8" width="18" customWidth="1"/>
    <x:col min="9" max="9" width="28" customWidth="1"/>
    <x:col min="10" max="11" width="8.710000038146973" customWidth="1"/>
  </x:cols>
  <x:sheetData>
    <x:row r="1" ht="33.75" customHeight="1">
      <x:c r="B1" s="91" t="str">
        <x:v>🔧 PERSPECTIVA DE PROCESOS INTERNOS — Southwest Airlines · Base 2025</x:v>
      </x:c>
      <x:c r="C1" s="10"/>
      <x:c r="D1" s="10"/>
      <x:c r="E1" s="10"/>
      <x:c r="F1" s="10"/>
      <x:c r="G1" s="10"/>
      <x:c r="H1" s="10"/>
      <x:c r="I1" s="2"/>
    </x:row>
    <x:row r="2" ht="19.5" customHeight="1">
      <x:c r="B2" s="76" t="str">
        <x:v>Objetivo Estratégico</x:v>
      </x:c>
      <x:c r="C2" s="76" t="str">
        <x:v>Indicador (KPI)</x:v>
      </x:c>
      <x:c r="D2" s="76" t="str">
        <x:v>Unidad</x:v>
      </x:c>
      <x:c r="E2" s="76" t="str">
        <x:v>Meta propuesta</x:v>
      </x:c>
      <x:c r="F2" s="76" t="str">
        <x:v>Real / resultado</x:v>
      </x:c>
      <x:c r="G2" s="76" t="str">
        <x:v>% Cumpl.</x:v>
      </x:c>
      <x:c r="H2" s="76" t="str">
        <x:v>Estado</x:v>
      </x:c>
      <x:c r="I2" s="76" t="str">
        <x:v>Análisis / acción recomendada</x:v>
      </x:c>
    </x:row>
    <x:row r="3" ht="27.75" customHeight="1">
      <x:c r="B3" s="92" t="str">
        <x:v>OBJ-P1: Mejorar puntualidad, finalización y accesibilidad</x:v>
      </x:c>
      <x:c r="C3" s="46" t="str">
        <x:v>Llegadas puntuales</x:v>
      </x:c>
      <x:c r="D3" s="47" t="str">
        <x:v>%</x:v>
      </x:c>
      <x:c r="E3" s="48" t="n">
        <x:f>'📊 BSC Completo'!F24</x:f>
        <x:v>82</x:v>
      </x:c>
      <x:c r="F3" s="48" t="n">
        <x:f>'📊 BSC Completo'!G24</x:f>
        <x:v>77.1</x:v>
      </x:c>
      <x:c r="G3" s="93" t="n">
        <x:f t="shared" ref="G3:G4" si="1">'📊 BSC Completo'!H24</x:f>
        <x:v>94.02439024390243</x:v>
      </x:c>
      <x:c r="H3" s="50" t="str">
        <x:f t="shared" ref="H3:H5" si="2">'📊 BSC Completo'!I24</x:f>
        <x:v>🟡 CASI LOGRADO</x:v>
      </x:c>
      <x:c r="I3" s="94" t="str">
        <x:v>Desglosa puntualidad por estación y causa; compara meses equivalentes y define medidas operativas sin extrapolar un solo mes.</x:v>
      </x:c>
    </x:row>
    <x:row r="4" ht="27.75" customHeight="1">
      <x:c r="B4" s="80"/>
      <x:c r="C4" s="46" t="str">
        <x:v>Vuelos cancelados</x:v>
      </x:c>
      <x:c r="D4" s="47" t="str">
        <x:v>%</x:v>
      </x:c>
      <x:c r="E4" s="48" t="n">
        <x:f>'📊 BSC Completo'!F25</x:f>
        <x:v>0.2</x:v>
      </x:c>
      <x:c r="F4" s="48" t="n">
        <x:f>'📊 BSC Completo'!G25</x:f>
        <x:v>0.3</x:v>
      </x:c>
      <x:c r="G4" s="93" t="n">
        <x:f t="shared" si="1">'📊 BSC Completo'!H25</x:f>
        <x:v>66.66666666666667</x:v>
      </x:c>
      <x:c r="H4" s="50" t="str">
        <x:f t="shared" si="2">'📊 BSC Completo'!I25</x:f>
        <x:v>🔴 RIESGO ALTO</x:v>
      </x:c>
      <x:c r="I4" s="94" t="str">
        <x:v>Clasifica cancelaciones por causas controlables; refuerza reservas de aeronaves y tripulación y planes de recuperación por base.</x:v>
      </x:c>
    </x:row>
    <x:row r="5" ht="27.75" customHeight="1">
      <x:c r="B5" s="81"/>
      <x:c r="C5" s="46" t="str">
        <x:v>Sillas de ruedas/scooters mal manejados por cada 100</x:v>
      </x:c>
      <x:c r="D5" s="47" t="str">
        <x:v>por 100</x:v>
      </x:c>
      <x:c r="E5" s="48" t="n">
        <x:f>'📊 BSC Completo'!F26</x:f>
        <x:v>0.8</x:v>
      </x:c>
      <x:c r="F5" s="48" t="n">
        <x:f>'📊 BSC Completo'!G26</x:f>
        <x:v>0.99</x:v>
      </x:c>
      <x:c r="G5" s="93" t="n">
        <x:f>'📊 BSC Completo'!H26</x:f>
        <x:v>80.80808080808082</x:v>
      </x:c>
      <x:c r="H5" s="50" t="str">
        <x:f t="shared" si="2">'📊 BSC Completo'!I26</x:f>
        <x:v>🟠 RIESGO MODERADO</x:v>
      </x:c>
      <x:c r="I5" s="94" t="str">
        <x:v>Segmenta incidencias de ayudas de movilidad por aeropuerto y transferencia; refuerza protocolos y audita su cumplimiento.</x:v>
      </x:c>
    </x:row>
    <x:row r="6" ht="4.5" customHeight="1"/>
    <x:row r="7" ht="27.75" customHeight="1">
      <x:c r="B7" s="92" t="str">
        <x:v>OBJ-P2: Aumentar productividad de flota y tecnología</x:v>
      </x:c>
      <x:c r="C7" s="52" t="str">
        <x:v>Tiempo de escala promedio</x:v>
      </x:c>
      <x:c r="D7" s="53" t="str">
        <x:v>minutos</x:v>
      </x:c>
      <x:c r="E7" s="54" t="n">
        <x:f>'📊 BSC Completo'!F27</x:f>
        <x:v>30</x:v>
      </x:c>
      <x:c r="F7" s="54" t="n">
        <x:f>'📊 BSC Completo'!G27</x:f>
        <x:v>34</x:v>
      </x:c>
      <x:c r="G7" s="95" t="n">
        <x:f>'📊 BSC Completo'!H27</x:f>
        <x:v>88.23529411764706</x:v>
      </x:c>
      <x:c r="H7" s="56" t="str">
        <x:f t="shared" ref="H7:H9" si="3">'📊 BSC Completo'!I27</x:f>
        <x:v>🟠 RIESGO MODERADO</x:v>
      </x:c>
      <x:c r="I7" s="96" t="str">
        <x:v>Analiza tiempos de escala por estación y aeronave; prueba cambios en tareas de tierra y compara los resultados.</x:v>
      </x:c>
    </x:row>
    <x:row r="8" ht="27.75" customHeight="1">
      <x:c r="B8" s="80"/>
      <x:c r="C8" s="52" t="str">
        <x:v>Utilización diaria de aeronave</x:v>
      </x:c>
      <x:c r="D8" s="53" t="str">
        <x:v>horas/día</x:v>
      </x:c>
      <x:c r="E8" s="54" t="n">
        <x:f>'📊 BSC Completo'!F28</x:f>
        <x:v>11</x:v>
      </x:c>
      <x:c r="F8" s="54" t="n">
        <x:f>'📊 BSC Completo'!G28</x:f>
        <x:v>10.3</x:v>
      </x:c>
      <x:c r="G8" s="95" t="n">
        <x:f>'📊 BSC Completo'!H28</x:f>
        <x:v>93.63636363636364</x:v>
      </x:c>
      <x:c r="H8" s="56" t="str">
        <x:f t="shared" si="3">'📊 BSC Completo'!I28</x:f>
        <x:v>🟡 CASI LOGRADO</x:v>
      </x:c>
      <x:c r="I8" s="96" t="str">
        <x:v>Revisa disponibilidad y programación de aeronaves; eleva utilización sin reducir márgenes para mantenimiento.</x:v>
      </x:c>
    </x:row>
    <x:row r="9" ht="27.75" customHeight="1">
      <x:c r="B9" s="81"/>
      <x:c r="C9" s="52" t="str">
        <x:v>Vuelos completados / programados</x:v>
      </x:c>
      <x:c r="D9" s="53" t="str">
        <x:v>%</x:v>
      </x:c>
      <x:c r="E9" s="54" t="n">
        <x:f>'📊 BSC Completo'!F29</x:f>
        <x:v>99.5</x:v>
      </x:c>
      <x:c r="F9" s="54" t="n">
        <x:f>'📊 BSC Completo'!G29</x:f>
        <x:v>99.2</x:v>
      </x:c>
      <x:c r="G9" s="95" t="n">
        <x:f>'📊 BSC Completo'!H29</x:f>
        <x:v>99.69849246231156</x:v>
      </x:c>
      <x:c r="H9" s="56" t="str">
        <x:f t="shared" si="3">'📊 BSC Completo'!I29</x:f>
        <x:v>🟡 CASI LOGRADO</x:v>
      </x:c>
      <x:c r="I9" s="96" t="str">
        <x:v>Clasifica vuelos no completados por causa y región; prioriza las controlables y monitorea la recuperación de itinerarios.</x:v>
      </x:c>
    </x:row>
    <x:row r="10" ht="4.5" customHeight="1"/>
    <x:row r="11" ht="27.75" customHeight="1">
      <x:c r="B11" s="92" t="str">
        <x:v>OBJ-P3: Asegurar calidad y resiliencia de proveedores</x:v>
      </x:c>
      <x:c r="C11" s="46" t="str">
        <x:v>Entregas puntuales de proveedores críticos</x:v>
      </x:c>
      <x:c r="D11" s="47" t="str">
        <x:v>%</x:v>
      </x:c>
      <x:c r="E11" s="48" t="n">
        <x:f>'📊 BSC Completo'!F30</x:f>
        <x:v>96</x:v>
      </x:c>
      <x:c r="F11" s="48" t="n">
        <x:f>'📊 BSC Completo'!G30</x:f>
        <x:v>92</x:v>
      </x:c>
      <x:c r="G11" s="93" t="n">
        <x:f>'📊 BSC Completo'!H30</x:f>
        <x:v>95.83333333333334</x:v>
      </x:c>
      <x:c r="H11" s="50" t="str">
        <x:f t="shared" ref="H11:H13" si="4">'📊 BSC Completo'!I30</x:f>
        <x:v>🟡 CASI LOGRADO</x:v>
      </x:c>
      <x:c r="I11" s="94" t="str">
        <x:v>Segmenta desempeño por proveedor crítico; acuerda planes correctivos, plazos de entrega y alternativas de suministro.</x:v>
      </x:c>
    </x:row>
    <x:row r="12" ht="27.75" customHeight="1">
      <x:c r="B12" s="80"/>
      <x:c r="C12" s="46" t="str">
        <x:v>Disponibilidad de sistemas operativos</x:v>
      </x:c>
      <x:c r="D12" s="47" t="str">
        <x:v>%</x:v>
      </x:c>
      <x:c r="E12" s="48" t="n">
        <x:f>'📊 BSC Completo'!F31</x:f>
        <x:v>99.9</x:v>
      </x:c>
      <x:c r="F12" s="48" t="n">
        <x:f>'📊 BSC Completo'!G31</x:f>
        <x:v>99.6</x:v>
      </x:c>
      <x:c r="G12" s="93" t="n">
        <x:f t="shared" ref="G12:G13" si="5">'📊 BSC Completo'!H31</x:f>
        <x:v>99.69969969969968</x:v>
      </x:c>
      <x:c r="H12" s="50" t="str">
        <x:f t="shared" si="4">'📊 BSC Completo'!I31</x:f>
        <x:v>🟡 CASI LOGRADO</x:v>
      </x:c>
      <x:c r="I12" s="94" t="str">
        <x:v>Analiza incidentes y duración en sistemas críticos; asigna responsables y valida los tiempos de recuperación.</x:v>
      </x:c>
    </x:row>
    <x:row r="13" ht="27.75" customHeight="1">
      <x:c r="B13" s="81"/>
      <x:c r="C13" s="46" t="str">
        <x:v>Incidentes de mantenimiento no programado</x:v>
      </x:c>
      <x:c r="D13" s="47" t="str">
        <x:v>por 1,000 vuelos</x:v>
      </x:c>
      <x:c r="E13" s="48" t="n">
        <x:f>'📊 BSC Completo'!F32</x:f>
        <x:v>1.3</x:v>
      </x:c>
      <x:c r="F13" s="48" t="n">
        <x:f>'📊 BSC Completo'!G32</x:f>
        <x:v>1.6</x:v>
      </x:c>
      <x:c r="G13" s="93" t="n">
        <x:f t="shared" si="5">'📊 BSC Completo'!H32</x:f>
        <x:v>81.25</x:v>
      </x:c>
      <x:c r="H13" s="50" t="str">
        <x:f t="shared" si="4">'📊 BSC Completo'!I32</x:f>
        <x:v>🟠 RIESGO MODERADO</x:v>
      </x:c>
      <x:c r="I13" s="94" t="str">
        <x:v>Segmenta fallas por flota y tipo de mantenimiento; refuerza mantenimiento preventivo y monitorea indicadores tempranos.</x:v>
      </x:c>
    </x:row>
    <x:row r="14" ht="4.5" customHeight="1"/>
    <x:row r="16" ht="19.5" customHeight="1">
      <x:c r="B16" s="84" t="str">
        <x:v>Metas propuestas para fines académicos. Las estimaciones de “Base Southwest” son referenciales y no representan resultados oficiales de la empresa.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</x:sheetData>
  <x:mergeCells>
    <x:mergeCell ref="B16:I16"/>
    <x:mergeCell ref="B11:B13"/>
    <x:mergeCell ref="B7:B9"/>
    <x:mergeCell ref="B3:B5"/>
    <x:mergeCell ref="B1:I1"/>
  </x:mergeCells>
  <x:conditionalFormatting sqref="H3:H16">
    <x:cfRule type="expression" dxfId="0" priority="1">
      <x:formula>ISNUMBER(SEARCH("SUPERA META",H3))</x:formula>
    </x:cfRule>
  </x:conditionalFormatting>
  <x:conditionalFormatting sqref="H3:H16">
    <x:cfRule type="expression" dxfId="1" priority="2">
      <x:formula>ISNUMBER(SEARCH("LOGRADO",H3))</x:formula>
    </x:cfRule>
  </x:conditionalFormatting>
  <x:conditionalFormatting sqref="H3:H16">
    <x:cfRule type="expression" dxfId="2" priority="3">
      <x:formula>ISNUMBER(SEARCH("CASI LOGRADO",H3))</x:formula>
    </x:cfRule>
  </x:conditionalFormatting>
  <x:conditionalFormatting sqref="H3:H16">
    <x:cfRule type="expression" dxfId="3" priority="4">
      <x:formula>ISNUMBER(SEARCH("RIESGO MODERADO",H3))</x:formula>
    </x:cfRule>
  </x:conditionalFormatting>
  <x:conditionalFormatting sqref="H3:H16">
    <x:cfRule type="expression" dxfId="4" priority="5">
      <x:formula>ISNUMBER(SEARCH("RIESGO ALTO",H3))</x:formula>
    </x:cfRule>
  </x:conditionalFormatting>
  <x:conditionalFormatting sqref="H3:H16">
    <x:cfRule type="expression" dxfId="5" priority="6">
      <x:formula>ISNUMBER(SEARCH("CRÍTICO",H3))</x:formula>
    </x:cfRule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4.430000305175781" defaultRowHeight="15"/>
  <x:cols>
    <x:col min="1" max="1" width="3" customWidth="1"/>
    <x:col min="2" max="2" width="22" customWidth="1"/>
    <x:col min="3" max="3" width="40" customWidth="1"/>
    <x:col min="4" max="4" width="11" customWidth="1"/>
    <x:col min="5" max="6" width="13" customWidth="1"/>
    <x:col min="7" max="7" width="15" customWidth="1"/>
    <x:col min="8" max="8" width="18" customWidth="1"/>
    <x:col min="9" max="9" width="28" customWidth="1"/>
    <x:col min="10" max="11" width="8.710000038146973" customWidth="1"/>
  </x:cols>
  <x:sheetData>
    <x:row r="1" ht="33.75" customHeight="1">
      <x:c r="B1" s="97" t="str">
        <x:v>📚 PERSPECTIVA DE APRENDIZAJE Y CRECIMIENTO — Southwest Airlines · Base 2025</x:v>
      </x:c>
      <x:c r="C1" s="10"/>
      <x:c r="D1" s="10"/>
      <x:c r="E1" s="10"/>
      <x:c r="F1" s="10"/>
      <x:c r="G1" s="10"/>
      <x:c r="H1" s="10"/>
      <x:c r="I1" s="2"/>
    </x:row>
    <x:row r="2" ht="19.5" customHeight="1">
      <x:c r="B2" s="76" t="str">
        <x:v>Objetivo Estratégico</x:v>
      </x:c>
      <x:c r="C2" s="76" t="str">
        <x:v>Indicador (KPI)</x:v>
      </x:c>
      <x:c r="D2" s="76" t="str">
        <x:v>Unidad</x:v>
      </x:c>
      <x:c r="E2" s="76" t="str">
        <x:v>Meta propuesta</x:v>
      </x:c>
      <x:c r="F2" s="76" t="str">
        <x:v>Real / resultado</x:v>
      </x:c>
      <x:c r="G2" s="76" t="str">
        <x:v>% Cumpl.</x:v>
      </x:c>
      <x:c r="H2" s="76" t="str">
        <x:v>Estado</x:v>
      </x:c>
      <x:c r="I2" s="76" t="str">
        <x:v>Análisis / acción recomendada</x:v>
      </x:c>
    </x:row>
    <x:row r="3" ht="27.75" customHeight="1">
      <x:c r="B3" s="98" t="str">
        <x:v>OBJ-A1: Desarrollar capacidades para el nuevo modelo</x:v>
      </x:c>
      <x:c r="C3" s="59" t="str">
        <x:v>Horas de capacitación por empleado</x:v>
      </x:c>
      <x:c r="D3" s="60" t="str">
        <x:v>horas</x:v>
      </x:c>
      <x:c r="E3" s="61" t="n">
        <x:f>'📊 BSC Completo'!F34</x:f>
        <x:v>40</x:v>
      </x:c>
      <x:c r="F3" s="61" t="n">
        <x:f>'📊 BSC Completo'!G34</x:f>
        <x:v>32</x:v>
      </x:c>
      <x:c r="G3" s="99" t="n">
        <x:f t="shared" ref="G3:G5" si="1">'📊 BSC Completo'!H34</x:f>
        <x:v>80</x:v>
      </x:c>
      <x:c r="H3" s="63" t="str">
        <x:f t="shared" ref="H3:H5" si="2">'📊 BSC Completo'!I34</x:f>
        <x:v>🟠 RIESGO MODERADO</x:v>
      </x:c>
      <x:c r="I3" s="100" t="str">
        <x:v>Vincula horas de capacitación con cobertura y dominio demostrado; enfoca recursos en competencias que reduzcan brechas operativas.</x:v>
      </x:c>
    </x:row>
    <x:row r="4" ht="27.75" customHeight="1">
      <x:c r="B4" s="80"/>
      <x:c r="C4" s="59" t="str">
        <x:v>Personal capacitado en cambios de producto</x:v>
      </x:c>
      <x:c r="D4" s="60" t="str">
        <x:v>%</x:v>
      </x:c>
      <x:c r="E4" s="61" t="n">
        <x:f>'📊 BSC Completo'!F35</x:f>
        <x:v>95</x:v>
      </x:c>
      <x:c r="F4" s="61" t="n">
        <x:f>'📊 BSC Completo'!G35</x:f>
        <x:v>78</x:v>
      </x:c>
      <x:c r="G4" s="99" t="n">
        <x:f t="shared" si="1">'📊 BSC Completo'!H35</x:f>
        <x:v>82.10526315789474</x:v>
      </x:c>
      <x:c r="H4" s="63" t="str">
        <x:f t="shared" si="2">'📊 BSC Completo'!I35</x:f>
        <x:v>🟠 RIESGO MODERADO</x:v>
      </x:c>
      <x:c r="I4" s="100" t="str">
        <x:v>Identifica brechas de preparación por rol y turno; completa la capacitación y valida conocimientos antes del despliegue.</x:v>
      </x:c>
    </x:row>
    <x:row r="5" ht="27.75" customHeight="1">
      <x:c r="B5" s="81"/>
      <x:c r="C5" s="59" t="str">
        <x:v>Cumplimiento de capacitación de seguridad</x:v>
      </x:c>
      <x:c r="D5" s="60" t="str">
        <x:v>%</x:v>
      </x:c>
      <x:c r="E5" s="61" t="n">
        <x:f>'📊 BSC Completo'!F36</x:f>
        <x:v>100</x:v>
      </x:c>
      <x:c r="F5" s="61" t="n">
        <x:f>'📊 BSC Completo'!G36</x:f>
        <x:v>94</x:v>
      </x:c>
      <x:c r="G5" s="99" t="n">
        <x:f t="shared" si="1">'📊 BSC Completo'!H36</x:f>
        <x:v>94</x:v>
      </x:c>
      <x:c r="H5" s="63" t="str">
        <x:f t="shared" si="2">'📊 BSC Completo'!I36</x:f>
        <x:v>🟡 CASI LOGRADO</x:v>
      </x:c>
      <x:c r="I5" s="100" t="str">
        <x:v>Prioriza cursos de seguridad pendientes; verifica cumplimiento en cada equipo, sede y turno.</x:v>
      </x:c>
    </x:row>
    <x:row r="6" ht="4.5" customHeight="1"/>
    <x:row r="7" ht="27.75" customHeight="1">
      <x:c r="B7" s="98" t="str">
        <x:v>OBJ-A2: Cuidar clima, compromiso y retención</x:v>
      </x:c>
      <x:c r="C7" s="65" t="str">
        <x:v>Índice de compromiso del empleado</x:v>
      </x:c>
      <x:c r="D7" s="66" t="str">
        <x:v>puntos / 100</x:v>
      </x:c>
      <x:c r="E7" s="67" t="n">
        <x:f>'📊 BSC Completo'!F37</x:f>
        <x:v>80</x:v>
      </x:c>
      <x:c r="F7" s="67" t="n">
        <x:f>'📊 BSC Completo'!G37</x:f>
        <x:v>73</x:v>
      </x:c>
      <x:c r="G7" s="101" t="n">
        <x:f>'📊 BSC Completo'!H37</x:f>
        <x:v>91.25</x:v>
      </x:c>
      <x:c r="H7" s="69" t="str">
        <x:f t="shared" ref="H7:H9" si="3">'📊 BSC Completo'!I37</x:f>
        <x:v>🟡 CASI LOGRADO</x:v>
      </x:c>
      <x:c r="I7" s="102" t="str">
        <x:v>Analiza compromiso por equipo junto con participación y rotación; define acciones y mide la evolución en la próxima encuesta.</x:v>
      </x:c>
    </x:row>
    <x:row r="8" ht="27.75" customHeight="1">
      <x:c r="B8" s="80"/>
      <x:c r="C8" s="65" t="str">
        <x:v>Rotación voluntaria de empleados</x:v>
      </x:c>
      <x:c r="D8" s="66" t="str">
        <x:v>%</x:v>
      </x:c>
      <x:c r="E8" s="67" t="n">
        <x:f>'📊 BSC Completo'!F38</x:f>
        <x:v>12</x:v>
      </x:c>
      <x:c r="F8" s="67" t="n">
        <x:f>'📊 BSC Completo'!G38</x:f>
        <x:v>16</x:v>
      </x:c>
      <x:c r="G8" s="101" t="n">
        <x:f>'📊 BSC Completo'!H38</x:f>
        <x:v>75</x:v>
      </x:c>
      <x:c r="H8" s="69" t="str">
        <x:f t="shared" si="3">'📊 BSC Completo'!I38</x:f>
        <x:v>🟠 RIESGO MODERADO</x:v>
      </x:c>
      <x:c r="I8" s="102" t="str">
        <x:v>Segmenta rotación por puesto, antigüedad y ubicación; identifica motivos de salida y aplica medidas focalizadas de retención.</x:v>
      </x:c>
    </x:row>
    <x:row r="9" ht="27.75" customHeight="1">
      <x:c r="B9" s="81"/>
      <x:c r="C9" s="65" t="str">
        <x:v>Incidentes de seguridad laboral</x:v>
      </x:c>
      <x:c r="D9" s="66" t="str">
        <x:v>por 200 mil horas</x:v>
      </x:c>
      <x:c r="E9" s="67" t="n">
        <x:f>'📊 BSC Completo'!F39</x:f>
        <x:v>2.5</x:v>
      </x:c>
      <x:c r="F9" s="67" t="n">
        <x:f>'📊 BSC Completo'!G39</x:f>
        <x:v>3.1</x:v>
      </x:c>
      <x:c r="G9" s="101" t="n">
        <x:f>'📊 BSC Completo'!H39</x:f>
        <x:v>80.64516129032258</x:v>
      </x:c>
      <x:c r="H9" s="69" t="str">
        <x:f t="shared" si="3">'📊 BSC Completo'!I39</x:f>
        <x:v>🟠 RIESGO MODERADO</x:v>
      </x:c>
      <x:c r="I9" s="102" t="str">
        <x:v>Revisa incidentes y reportes preventivos por riesgo; corrige causas recurrentes y audita los controles de seguridad.</x:v>
      </x:c>
    </x:row>
    <x:row r="10" ht="4.5" customHeight="1"/>
    <x:row r="11" ht="27.75" customHeight="1">
      <x:c r="B11" s="98" t="str">
        <x:v>OBJ-A3: Impulsar mejora continua e innovación</x:v>
      </x:c>
      <x:c r="C11" s="59" t="str">
        <x:v>Ideas de mejora implementadas</x:v>
      </x:c>
      <x:c r="D11" s="60" t="str">
        <x:v>ideas/año</x:v>
      </x:c>
      <x:c r="E11" s="61" t="n">
        <x:f>'📊 BSC Completo'!F40</x:f>
        <x:v>60</x:v>
      </x:c>
      <x:c r="F11" s="61" t="n">
        <x:f>'📊 BSC Completo'!G40</x:f>
        <x:v>45</x:v>
      </x:c>
      <x:c r="G11" s="99" t="n">
        <x:f t="shared" ref="G11:G13" si="4">'📊 BSC Completo'!H40</x:f>
        <x:v>75</x:v>
      </x:c>
      <x:c r="H11" s="63" t="str">
        <x:f t="shared" ref="H11:H13" si="5">'📊 BSC Completo'!I40</x:f>
        <x:v>🟠 RIESGO MODERADO</x:v>
      </x:c>
      <x:c r="I11" s="100" t="str">
        <x:v>Reduce demoras de aprobación y asigna responsables a las ideas; mide propuestas implementadas y beneficios obtenidos.</x:v>
      </x:c>
    </x:row>
    <x:row r="12" ht="27.75" customHeight="1">
      <x:c r="B12" s="80"/>
      <x:c r="C12" s="59" t="str">
        <x:v>Vacantes cubiertas internamente</x:v>
      </x:c>
      <x:c r="D12" s="60" t="str">
        <x:v>%</x:v>
      </x:c>
      <x:c r="E12" s="61" t="n">
        <x:f>'📊 BSC Completo'!F41</x:f>
        <x:v>45</x:v>
      </x:c>
      <x:c r="F12" s="61" t="n">
        <x:f>'📊 BSC Completo'!G41</x:f>
        <x:v>36</x:v>
      </x:c>
      <x:c r="G12" s="99" t="n">
        <x:f t="shared" si="4">'📊 BSC Completo'!H41</x:f>
        <x:v>80</x:v>
      </x:c>
      <x:c r="H12" s="63" t="str">
        <x:f t="shared" si="5">'📊 BSC Completo'!I41</x:f>
        <x:v>🟠 RIESGO MODERADO</x:v>
      </x:c>
      <x:c r="I12" s="100" t="str">
        <x:v>Revisa movilidad, perfiles y acceso al desarrollo; amplía oportunidades de promoción interna con seguimiento equitativo.</x:v>
      </x:c>
    </x:row>
    <x:row r="13" ht="27.75" customHeight="1">
      <x:c r="B13" s="81"/>
      <x:c r="C13" s="59" t="str">
        <x:v>Empleados que usan herramientas digitales nuevas</x:v>
      </x:c>
      <x:c r="D13" s="60" t="str">
        <x:v>%</x:v>
      </x:c>
      <x:c r="E13" s="61" t="n">
        <x:f>'📊 BSC Completo'!F42</x:f>
        <x:v>85</x:v>
      </x:c>
      <x:c r="F13" s="61" t="n">
        <x:f>'📊 BSC Completo'!G42</x:f>
        <x:v>72</x:v>
      </x:c>
      <x:c r="G13" s="99" t="n">
        <x:f t="shared" si="4">'📊 BSC Completo'!H42</x:f>
        <x:v>84.70588235294117</x:v>
      </x:c>
      <x:c r="H13" s="63" t="str">
        <x:f t="shared" si="5">'📊 BSC Completo'!I42</x:f>
        <x:v>🟠 RIESGO MODERADO</x:v>
      </x:c>
      <x:c r="I13" s="100" t="str">
        <x:v>Mide uso activo y barreras por tarea; refuerza capacitación y soporte para elevar adopción de herramientas digitales.</x:v>
      </x:c>
    </x:row>
    <x:row r="14" ht="4.5" customHeight="1"/>
    <x:row r="16" ht="19.5" customHeight="1">
      <x:c r="B16" s="84" t="str">
        <x:v>Metas propuestas para fines académicos. Las estimaciones de “Base Southwest” son referenciales y no representan resultados oficiales de la empresa.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</x:sheetData>
  <x:mergeCells>
    <x:mergeCell ref="B16:I16"/>
    <x:mergeCell ref="B11:B13"/>
    <x:mergeCell ref="B7:B9"/>
    <x:mergeCell ref="B3:B5"/>
    <x:mergeCell ref="B1:I1"/>
  </x:mergeCells>
  <x:conditionalFormatting sqref="H3:H16">
    <x:cfRule type="expression" dxfId="0" priority="1">
      <x:formula>ISNUMBER(SEARCH("SUPERA META",H3))</x:formula>
    </x:cfRule>
  </x:conditionalFormatting>
  <x:conditionalFormatting sqref="H3:H16">
    <x:cfRule type="expression" dxfId="1" priority="2">
      <x:formula>ISNUMBER(SEARCH("LOGRADO",H3))</x:formula>
    </x:cfRule>
  </x:conditionalFormatting>
  <x:conditionalFormatting sqref="H3:H16">
    <x:cfRule type="expression" dxfId="2" priority="3">
      <x:formula>ISNUMBER(SEARCH("CASI LOGRADO",H3))</x:formula>
    </x:cfRule>
  </x:conditionalFormatting>
  <x:conditionalFormatting sqref="H3:H16">
    <x:cfRule type="expression" dxfId="3" priority="4">
      <x:formula>ISNUMBER(SEARCH("RIESGO MODERADO",H3))</x:formula>
    </x:cfRule>
  </x:conditionalFormatting>
  <x:conditionalFormatting sqref="H3:H16">
    <x:cfRule type="expression" dxfId="4" priority="5">
      <x:formula>ISNUMBER(SEARCH("RIESGO ALTO",H3))</x:formula>
    </x:cfRule>
  </x:conditionalFormatting>
  <x:conditionalFormatting sqref="H3:H16">
    <x:cfRule type="expression" dxfId="5" priority="6">
      <x:formula>ISNUMBER(SEARCH("CRÍTICO",H3))</x:formula>
    </x:cfRule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ColWidth="14.430000305175781" defaultRowHeight="15"/>
  <x:cols>
    <x:col min="1" max="1" width="28" customWidth="1"/>
    <x:col min="2" max="2" width="34" customWidth="1"/>
    <x:col min="3" max="4" width="16" customWidth="1"/>
    <x:col min="5" max="5" width="18" customWidth="1"/>
    <x:col min="6" max="6" width="28" customWidth="1"/>
    <x:col min="7" max="8" width="18" customWidth="1"/>
    <x:col min="9" max="11" width="8.710000038146973" customWidth="1"/>
  </x:cols>
  <x:sheetData>
    <x:row r="1" ht="31.5" customHeight="1">
      <x:c r="A1" s="103" t="str">
        <x:v>BSC SOUTHWEST | 2025</x:v>
      </x:c>
    </x:row>
    <x:row r="2">
      <x:c r="A2" s="171" t="str">
        <x:v>Panel anual: KPI públicos comparables; excluye los KPI DOT de octubre y las estimaciones ficticias. Ver Base Southwest.</x:v>
      </x:c>
      <x:c r="B2" s="171"/>
      <x:c r="C2" s="171"/>
      <x:c r="D2" s="171"/>
      <x:c r="E2" s="171"/>
      <x:c r="F2" s="171"/>
    </x:row>
    <x:row r="3">
      <x:c r="A3" s="104" t="str">
        <x:v>Cumplimiento promedio anual (%)</x:v>
      </x:c>
      <x:c r="B3" s="105" t="n">
        <x:f>IFERROR(SUMIFS('Base Southwest'!$J$2:$J$37,'Base Southwest'!$G$2:$G$37,"2025 anual",'Base Southwest'!$L$2:$L$37,"&lt;&gt;Ficticio")/COUNTIFS('Base Southwest'!$G$2:$G$37,"2025 anual",'Base Southwest'!$L$2:$L$37,"&lt;&gt;Ficticio"),"SIN DATOS")</x:f>
        <x:v>94.17412020287834</x:v>
      </x:c>
      <x:c r="D3" s="104" t="str">
        <x:v>KPIs anuales</x:v>
      </x:c>
      <x:c r="E3" s="106" t="n">
        <x:f>COUNTIFS('Base Southwest'!$G$2:$G$37,"2025 anual",'Base Southwest'!$L$2:$L$37,"&lt;&gt;Ficticio")</x:f>
        <x:v>10</x:v>
      </x:c>
      <x:c r="G3" s="104" t="s">
        <x:v>8</x:v>
      </x:c>
      <x:c r="H3" s="106" t="n">
        <x:f>COUNTIFS('Base Southwest'!$G$2:$G$37,"2025 anual",'Base Southwest'!$L$2:$L$37,"&lt;&gt;Ficticio",'Base Southwest'!$J$2:$J$37,"&lt;75")</x:f>
        <x:v>0</x:v>
      </x:c>
    </x:row>
    <x:row r="5">
      <x:c r="A5" s="107" t="str">
        <x:v>Perspectiva</x:v>
      </x:c>
      <x:c r="B5" s="107" t="str">
        <x:v>Cumplimiento promedio (%)</x:v>
      </x:c>
      <x:c r="C5" s="107" t="str">
        <x:v>KPIs anuales</x:v>
      </x:c>
      <x:c r="D5" s="107" t="str">
        <x:v>Críticos / riesgo alto</x:v>
      </x:c>
    </x:row>
    <x:row r="6" ht="18" customHeight="1">
      <x:c r="A6" s="108" t="str">
        <x:v>Financiera</x:v>
      </x:c>
      <x:c r="B6" s="109" t="n">
        <x:f>IF(COUNTIFS('Base Southwest'!$G$2:$G$10,"2025 anual",'Base Southwest'!$L$2:$L$10,"&lt;&gt;Ficticio")=0,"SIN DATOS",SUMIFS('Base Southwest'!$J$2:$J$10,'Base Southwest'!$G$2:$G$10,"2025 anual",'Base Southwest'!$L$2:$L$10,"&lt;&gt;Ficticio")/COUNTIFS('Base Southwest'!$G$2:$G$10,"2025 anual",'Base Southwest'!$L$2:$L$10,"&lt;&gt;Ficticio"))</x:f>
        <x:v>93.52680022542037</x:v>
      </x:c>
      <x:c r="C6" s="108" t="n">
        <x:f>COUNTIFS('Base Southwest'!$G$2:$G$10,"2025 anual",'Base Southwest'!$L$2:$L$10,"&lt;&gt;Ficticio")</x:f>
        <x:v>9</x:v>
      </x:c>
      <x:c r="D6" s="108" t="n">
        <x:f>COUNTIFS('Base Southwest'!$G$2:$G$10,"2025 anual",'Base Southwest'!$L$2:$L$10,"&lt;&gt;Ficticio",'Base Southwest'!$J$2:$J$10,"&lt;75")</x:f>
        <x:v>0</x:v>
      </x:c>
    </x:row>
    <x:row r="7" ht="18" customHeight="1">
      <x:c r="A7" s="108" t="str">
        <x:v>Clientes</x:v>
      </x:c>
      <x:c r="B7" s="109" t="n">
        <x:f>IF(COUNTIFS('Base Southwest'!$G$11:$G$19,"2025 anual",'Base Southwest'!$L$11:$L$19,"&lt;&gt;Ficticio")=0,"SIN DATOS",SUMIFS('Base Southwest'!$J$11:$J$19,'Base Southwest'!$G$11:$G$19,"2025 anual",'Base Southwest'!$L$11:$L$19,"&lt;&gt;Ficticio")/COUNTIFS('Base Southwest'!$G$11:$G$19,"2025 anual",'Base Southwest'!$L$11:$L$19,"&lt;&gt;Ficticio"))</x:f>
        <x:v>100</x:v>
      </x:c>
      <x:c r="C7" s="108" t="n">
        <x:f>COUNTIFS('Base Southwest'!$G$11:$G$19,"2025 anual",'Base Southwest'!$L$11:$L$19,"&lt;&gt;Ficticio")</x:f>
        <x:v>1</x:v>
      </x:c>
      <x:c r="D7" s="108" t="n">
        <x:f>COUNTIFS('Base Southwest'!$G$11:$G$19,"2025 anual",'Base Southwest'!$L$11:$L$19,"&lt;&gt;Ficticio",'Base Southwest'!$J$11:$J$19,"&lt;75")</x:f>
        <x:v>0</x:v>
      </x:c>
    </x:row>
    <x:row r="8" ht="18" customHeight="1">
      <x:c r="A8" s="108" t="str">
        <x:v>Procesos internos</x:v>
      </x:c>
      <x:c r="B8" s="109" t="str">
        <x:f>IF(COUNTIFS('Base Southwest'!$G$20:$G$28,"2025 anual",'Base Southwest'!$L$20:$L$28,"&lt;&gt;Ficticio")=0,"SIN DATOS",SUMIFS('Base Southwest'!$J$20:$J$28,'Base Southwest'!$G$20:$G$28,"2025 anual",'Base Southwest'!$L$20:$L$28,"&lt;&gt;Ficticio")/COUNTIFS('Base Southwest'!$G$20:$G$28,"2025 anual",'Base Southwest'!$L$20:$L$28,"&lt;&gt;Ficticio"))</x:f>
        <x:v>SIN DATOS</x:v>
      </x:c>
      <x:c r="C8" s="108" t="n">
        <x:f>COUNTIFS('Base Southwest'!$G$20:$G$28,"2025 anual",'Base Southwest'!$L$20:$L$28,"&lt;&gt;Ficticio")</x:f>
        <x:v>0</x:v>
      </x:c>
      <x:c r="D8" s="108" t="n">
        <x:f>COUNTIFS('Base Southwest'!$G$20:$G$28,"2025 anual",'Base Southwest'!$L$20:$L$28,"&lt;&gt;Ficticio",'Base Southwest'!$J$20:$J$28,"&lt;75")</x:f>
        <x:v>0</x:v>
      </x:c>
    </x:row>
    <x:row r="9" ht="18" customHeight="1">
      <x:c r="A9" s="108" t="str">
        <x:v>Aprendizaje y crecimiento</x:v>
      </x:c>
      <x:c r="B9" s="109" t="str">
        <x:f>IF(COUNTIFS('Base Southwest'!$G$29:$G$37,"2025 anual",'Base Southwest'!$L$29:$L$37,"&lt;&gt;Ficticio")=0,"SIN DATOS",SUMIFS('Base Southwest'!$J$29:$J$37,'Base Southwest'!$G$29:$G$37,"2025 anual",'Base Southwest'!$L$29:$L$37,"&lt;&gt;Ficticio")/COUNTIFS('Base Southwest'!$G$29:$G$37,"2025 anual",'Base Southwest'!$L$29:$L$37,"&lt;&gt;Ficticio"))</x:f>
        <x:v>SIN DATOS</x:v>
      </x:c>
      <x:c r="C9" s="108" t="n">
        <x:f>COUNTIFS('Base Southwest'!$G$29:$G$37,"2025 anual",'Base Southwest'!$L$29:$L$37,"&lt;&gt;Ficticio")</x:f>
        <x:v>0</x:v>
      </x:c>
      <x:c r="D9" s="108" t="n">
        <x:f>COUNTIFS('Base Southwest'!$G$29:$G$37,"2025 anual",'Base Southwest'!$L$29:$L$37,"&lt;&gt;Ficticio",'Base Southwest'!$J$29:$J$37,"&lt;75")</x:f>
        <x:v>0</x:v>
      </x:c>
    </x:row>
    <x:row r="10" ht="18" customHeight="1"/>
    <x:row r="11" ht="18" customHeight="1"/>
    <x:row r="12" ht="18" customHeight="1">
      <x:c r="A12" s="110" t="str">
        <x:v>Indicadores de referencia (el resumen anual excluye periodos no comparables)</x:v>
      </x:c>
    </x:row>
    <x:row r="13" ht="31.5" customHeight="1">
      <x:c r="A13" s="111" t="str">
        <x:v>Perspectiva</x:v>
      </x:c>
      <x:c r="B13" s="111" t="str">
        <x:v>Indicador</x:v>
      </x:c>
      <x:c r="C13" s="111" t="str">
        <x:v>Meta propuesta</x:v>
      </x:c>
      <x:c r="D13" s="111" t="str">
        <x:v>Real / resultado</x:v>
      </x:c>
      <x:c r="E13" s="111" t="str">
        <x:v>Cumplimiento</x:v>
      </x:c>
      <x:c r="F13" s="111" t="str">
        <x:v>Estado</x:v>
      </x:c>
    </x:row>
    <x:row r="14" ht="31.5" customHeight="1">
      <x:c r="A14" s="112" t="str">
        <x:f>'📊 BSC Completo'!B4</x:f>
        <x:v>💰 PERSPECTIVA FINANCIERA</x:v>
      </x:c>
      <x:c r="B14" s="112" t="str">
        <x:f>'📊 BSC Completo'!D4</x:f>
        <x:v>Margen operativo GAAP</x:v>
      </x:c>
      <x:c r="C14" s="172" t="n">
        <x:f>'📊 BSC Completo'!F4</x:f>
        <x:v>2</x:v>
      </x:c>
      <x:c r="D14" s="172" t="n">
        <x:f>'📊 BSC Completo'!G4</x:f>
        <x:v>1.5</x:v>
      </x:c>
      <x:c r="E14" s="173" t="n">
        <x:f>'📊 BSC Completo'!H4</x:f>
        <x:v>75</x:v>
      </x:c>
      <x:c r="F14" s="174" t="str">
        <x:f>'📊 BSC Completo'!I4</x:f>
        <x:v>🟠 RIESGO MODERADO</x:v>
      </x:c>
    </x:row>
    <x:row r="15" ht="31.5" customHeight="1">
      <x:c r="A15" s="112" t="str">
        <x:f>'📊 BSC Completo'!B4</x:f>
        <x:v>💰 PERSPECTIVA FINANCIERA</x:v>
      </x:c>
      <x:c r="B15" s="112" t="str">
        <x:f>'📊 BSC Completo'!D5</x:f>
        <x:v>Utilidad neta GAAP</x:v>
      </x:c>
      <x:c r="C15" s="172" t="n">
        <x:f>'📊 BSC Completo'!F5</x:f>
        <x:v>500</x:v>
      </x:c>
      <x:c r="D15" s="172" t="n">
        <x:f>'📊 BSC Completo'!G5</x:f>
        <x:v>441</x:v>
      </x:c>
      <x:c r="E15" s="173" t="n">
        <x:f>'📊 BSC Completo'!H5</x:f>
        <x:v>88.2</x:v>
      </x:c>
      <x:c r="F15" s="174" t="str">
        <x:f>'📊 BSC Completo'!I5</x:f>
        <x:v>🟠 RIESGO MODERADO</x:v>
      </x:c>
    </x:row>
    <x:row r="16" ht="31.5" customHeight="1">
      <x:c r="A16" s="112" t="str">
        <x:f>'📊 BSC Completo'!B4</x:f>
        <x:v>💰 PERSPECTIVA FINANCIERA</x:v>
      </x:c>
      <x:c r="B16" s="112" t="str">
        <x:f>'📊 BSC Completo'!D6</x:f>
        <x:v>EBIT ajustado</x:v>
      </x:c>
      <x:c r="C16" s="177" t="n">
        <x:f>'Base Southwest'!H4</x:f>
        <x:v>600</x:v>
      </x:c>
      <x:c r="D16" s="177" t="n">
        <x:f>'Base Southwest'!I4</x:f>
        <x:v>574</x:v>
      </x:c>
      <x:c r="E16" s="179" t="n">
        <x:f>'Base Southwest'!J4</x:f>
        <x:v>95.66666666666667</x:v>
      </x:c>
      <x:c r="F16" s="174" t="str">
        <x:f>'📊 BSC Completo'!I6</x:f>
        <x:v>🟡 CASI LOGRADO</x:v>
      </x:c>
      <x:c r="G16" s="115"/>
      <x:c r="H16" s="115"/>
    </x:row>
    <x:row r="17" ht="31.5" customHeight="1">
      <x:c r="A17" s="112" t="str">
        <x:f>'📊 BSC Completo'!B4</x:f>
        <x:v>💰 PERSPECTIVA FINANCIERA</x:v>
      </x:c>
      <x:c r="B17" s="112" t="str">
        <x:f>'📊 BSC Completo'!D7</x:f>
        <x:v>Ingresos operativos</x:v>
      </x:c>
      <x:c r="C17" s="172" t="n">
        <x:f>'📊 BSC Completo'!F7</x:f>
        <x:v>29</x:v>
      </x:c>
      <x:c r="D17" s="172" t="n">
        <x:f>'📊 BSC Completo'!G7</x:f>
        <x:v>28.1</x:v>
      </x:c>
      <x:c r="E17" s="173" t="n">
        <x:f>'📊 BSC Completo'!H7</x:f>
        <x:v>96.89655172413794</x:v>
      </x:c>
      <x:c r="F17" s="174" t="str">
        <x:f>'📊 BSC Completo'!I7</x:f>
        <x:v>🟡 CASI LOGRADO</x:v>
      </x:c>
    </x:row>
    <x:row r="18" ht="31.5" customHeight="1">
      <x:c r="A18" s="112" t="str">
        <x:f>'📊 BSC Completo'!B4</x:f>
        <x:v>💰 PERSPECTIVA FINANCIERA</x:v>
      </x:c>
      <x:c r="B18" s="112" t="str">
        <x:f>'📊 BSC Completo'!D8</x:f>
        <x:v>Ingresos de pasajeros</x:v>
      </x:c>
      <x:c r="C18" s="172" t="n">
        <x:f>'📊 BSC Completo'!F8</x:f>
        <x:v>26</x:v>
      </x:c>
      <x:c r="D18" s="172" t="n">
        <x:f>'📊 BSC Completo'!G8</x:f>
        <x:v>25.5</x:v>
      </x:c>
      <x:c r="E18" s="173" t="n">
        <x:f>'📊 BSC Completo'!H8</x:f>
        <x:v>98.07692307692307</x:v>
      </x:c>
      <x:c r="F18" s="174" t="str">
        <x:f>'📊 BSC Completo'!I8</x:f>
        <x:v>🟡 CASI LOGRADO</x:v>
      </x:c>
    </x:row>
    <x:row r="19" ht="31.5" customHeight="1">
      <x:c r="A19" s="112" t="str">
        <x:f>'📊 BSC Completo'!B4</x:f>
        <x:v>💰 PERSPECTIVA FINANCIERA</x:v>
      </x:c>
      <x:c r="B19" s="112" t="str">
        <x:f>'📊 BSC Completo'!D9</x:f>
        <x:v>Pasajeros transportados</x:v>
      </x:c>
      <x:c r="C19" s="172" t="n">
        <x:f>'📊 BSC Completo'!F9</x:f>
        <x:v>140</x:v>
      </x:c>
      <x:c r="D19" s="172" t="n">
        <x:f>'📊 BSC Completo'!G9</x:f>
        <x:v>134.11</x:v>
      </x:c>
      <x:c r="E19" s="173" t="n">
        <x:f>'📊 BSC Completo'!H9</x:f>
        <x:v>95.79285714285716</x:v>
      </x:c>
      <x:c r="F19" s="174" t="str">
        <x:f>'📊 BSC Completo'!I9</x:f>
        <x:v>🟡 CASI LOGRADO</x:v>
      </x:c>
    </x:row>
    <x:row r="20" ht="31.5" customHeight="1">
      <x:c r="A20" s="112" t="str">
        <x:f>'📊 BSC Completo'!B4</x:f>
        <x:v>💰 PERSPECTIVA FINANCIERA</x:v>
      </x:c>
      <x:c r="B20" s="112" t="str">
        <x:f>'📊 BSC Completo'!D10</x:f>
        <x:v>Gastos operativos por ASM</x:v>
      </x:c>
      <x:c r="C20" s="172" t="n">
        <x:f>'📊 BSC Completo'!F10</x:f>
        <x:v>15</x:v>
      </x:c>
      <x:c r="D20" s="172" t="n">
        <x:f>'📊 BSC Completo'!G10</x:f>
        <x:v>15.35</x:v>
      </x:c>
      <x:c r="E20" s="173" t="n">
        <x:f>'📊 BSC Completo'!H10</x:f>
        <x:v>97.71986970684038</x:v>
      </x:c>
      <x:c r="F20" s="174" t="str">
        <x:f>'📊 BSC Completo'!I10</x:f>
        <x:v>🟡 CASI LOGRADO</x:v>
      </x:c>
    </x:row>
    <x:row r="21" ht="31.5" customHeight="1">
      <x:c r="A21" s="112" t="str">
        <x:f>'📊 BSC Completo'!B4</x:f>
        <x:v>💰 PERSPECTIVA FINANCIERA</x:v>
      </x:c>
      <x:c r="B21" s="112" t="str">
        <x:f>'📊 BSC Completo'!D11</x:f>
        <x:v>Gastos por ASM sin combustible</x:v>
      </x:c>
      <x:c r="C21" s="172" t="n">
        <x:f>'📊 BSC Completo'!F11</x:f>
        <x:v>12</x:v>
      </x:c>
      <x:c r="D21" s="172" t="n">
        <x:f>'📊 BSC Completo'!G11</x:f>
        <x:v>12.44</x:v>
      </x:c>
      <x:c r="E21" s="173" t="n">
        <x:f>'📊 BSC Completo'!H11</x:f>
        <x:v>96.46302250803859</x:v>
      </x:c>
      <x:c r="F21" s="174" t="str">
        <x:f>'📊 BSC Completo'!I11</x:f>
        <x:v>🟡 CASI LOGRADO</x:v>
      </x:c>
    </x:row>
    <x:row r="22" ht="31.5" customHeight="1">
      <x:c r="A22" s="112" t="str">
        <x:f>'📊 BSC Completo'!B4</x:f>
        <x:v>💰 PERSPECTIVA FINANCIERA</x:v>
      </x:c>
      <x:c r="B22" s="112" t="str">
        <x:f>'📊 BSC Completo'!D12</x:f>
        <x:v>Combustible por 1,000 ASM</x:v>
      </x:c>
      <x:c r="C22" s="172" t="n">
        <x:f>'📊 BSC Completo'!F12</x:f>
        <x:v>11.8</x:v>
      </x:c>
      <x:c r="D22" s="172" t="n">
        <x:f>'📊 BSC Completo'!G12</x:f>
        <x:v>12.05</x:v>
      </x:c>
      <x:c r="E22" s="173" t="n">
        <x:f>'📊 BSC Completo'!H12</x:f>
        <x:v>97.9253112033195</x:v>
      </x:c>
      <x:c r="F22" s="174" t="str">
        <x:f>'📊 BSC Completo'!I12</x:f>
        <x:v>🟡 CASI LOGRADO</x:v>
      </x:c>
    </x:row>
    <x:row r="23" ht="18" customHeight="1"/>
    <x:row r="24" ht="18" customHeight="1"/>
    <x:row r="25" ht="18" customHeight="1">
      <x:c r="A25" s="104" t="str">
        <x:v>Escala de evaluación</x:v>
      </x:c>
    </x:row>
    <x:row r="26" ht="30" customHeight="1">
      <x:c r="A26" s="116" t="s">
        <x:v>9</x:v>
      </x:c>
      <x:c r="B26" s="117" t="s">
        <x:v>10</x:v>
      </x:c>
      <x:c r="C26" s="118"/>
      <x:c r="D26" s="118"/>
      <x:c r="E26" s="118"/>
      <x:c r="F26" s="118"/>
      <x:c r="G26" s="118"/>
      <x:c r="H26" s="119"/>
    </x:row>
    <x:row r="27" ht="30" customHeight="1">
      <x:c r="A27" s="120" t="s">
        <x:v>11</x:v>
      </x:c>
      <x:c r="B27" s="121" t="s">
        <x:v>12</x:v>
      </x:c>
      <x:c r="C27" s="118"/>
      <x:c r="D27" s="118"/>
      <x:c r="E27" s="118"/>
      <x:c r="F27" s="118"/>
      <x:c r="G27" s="118"/>
      <x:c r="H27" s="119"/>
    </x:row>
    <x:row r="28" ht="30" customHeight="1">
      <x:c r="A28" s="122" t="s">
        <x:v>13</x:v>
      </x:c>
      <x:c r="B28" s="122" t="s">
        <x:v>14</x:v>
      </x:c>
      <x:c r="C28" s="123" t="str">
        <x:v>Las metas son propuestas de trabajo y los valores ficticios están identificados en “Base Southwest”.</x:v>
      </x:c>
      <x:c r="D28" s="118"/>
      <x:c r="E28" s="118"/>
      <x:c r="F28" s="119"/>
    </x:row>
    <x:row r="29" ht="30" customHeight="1">
      <x:c r="A29" s="124" t="s">
        <x:v>15</x:v>
      </x:c>
      <x:c r="B29" s="124" t="s">
        <x:v>16</x:v>
      </x:c>
      <x:c r="C29" s="125"/>
      <x:c r="D29" s="125"/>
      <x:c r="E29" s="125"/>
      <x:c r="F29" s="126"/>
    </x:row>
    <x:row r="30" ht="30" customHeight="1">
      <x:c r="A30" s="127" t="s">
        <x:v>17</x:v>
      </x:c>
      <x:c r="B30" s="127" t="s">
        <x:v>18</x:v>
      </x:c>
      <x:c r="C30" s="128" t="str">
        <x:v>Intervención prioritaria para KPIs con datos disponibles.</x:v>
      </x:c>
      <x:c r="D30" s="118"/>
      <x:c r="E30" s="118"/>
      <x:c r="F30" s="119"/>
    </x:row>
    <x:row r="31" ht="30" customHeight="1">
      <x:c r="A31" s="129" t="s">
        <x:v>19</x:v>
      </x:c>
      <x:c r="B31" s="130" t="s">
        <x:v>20</x:v>
      </x:c>
      <x:c r="C31" s="118"/>
      <x:c r="D31" s="118"/>
      <x:c r="E31" s="118"/>
      <x:c r="F31" s="118"/>
      <x:c r="G31" s="118"/>
      <x:c r="H31" s="119"/>
    </x:row>
    <x:row r="32" ht="30" customHeight="1">
      <x:c r="A32" s="131" t="s">
        <x:v>21</x:v>
      </x:c>
      <x:c r="B32" s="131" t="s">
        <x:v>22</x:v>
      </x:c>
      <x:c r="C32" s="132" t="str">
        <x:v>Verificar o completar la fuente antes de interpretar.</x:v>
      </x:c>
      <x:c r="D32" s="118"/>
      <x:c r="E32" s="118"/>
      <x:c r="F32" s="119"/>
    </x:row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</x:sheetData>
  <x:mergeCells>
    <x:mergeCell ref="C30:F30"/>
    <x:mergeCell ref="B31:H31"/>
    <x:mergeCell ref="C29:F29"/>
    <x:mergeCell ref="C28:F28"/>
    <x:mergeCell ref="C32:F32"/>
    <x:mergeCell ref="B4:E4"/>
    <x:mergeCell ref="F4:H4"/>
    <x:mergeCell ref="B27:H27"/>
    <x:mergeCell ref="B1:H1"/>
    <x:mergeCell ref="B26:H26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ColWidth="14.430000305175781" defaultRowHeight="15"/>
  <x:cols>
    <x:col min="1" max="1" width="27" customWidth="1"/>
    <x:col min="2" max="2" width="32" customWidth="1"/>
    <x:col min="3" max="3" width="55" customWidth="1"/>
    <x:col min="4" max="6" width="18" customWidth="1"/>
    <x:col min="7" max="11" width="8.710000038146973" customWidth="1"/>
  </x:cols>
  <x:sheetData>
    <x:row r="1">
      <x:c r="A1" s="133" t="str">
        <x:v>CONFIGURACIÓN DE NIVELES BSC — SOUTHWEST AIRLINES</x:v>
      </x:c>
      <x:c r="B1" s="118"/>
      <x:c r="C1" s="119"/>
    </x:row>
    <x:row r="2">
      <x:c r="A2" s="134" t="s">
        <x:v>23</x:v>
      </x:c>
      <x:c r="B2" s="134" t="s">
        <x:v>24</x:v>
      </x:c>
      <x:c r="C2" s="134" t="s">
        <x:v>25</x:v>
      </x:c>
    </x:row>
    <x:row r="3">
      <x:c r="A3" t="s">
        <x:v>9</x:v>
      </x:c>
      <x:c r="B3">
        <x:v>110.0</x:v>
      </x:c>
      <x:c r="C3" t="s">
        <x:v>26</x:v>
      </x:c>
    </x:row>
    <x:row r="4">
      <x:c r="A4" t="s">
        <x:v>11</x:v>
      </x:c>
      <x:c r="B4">
        <x:v>100.0</x:v>
      </x:c>
      <x:c r="C4" t="s">
        <x:v>27</x:v>
      </x:c>
    </x:row>
    <x:row r="5">
      <x:c r="A5" t="s">
        <x:v>13</x:v>
      </x:c>
      <x:c r="B5">
        <x:v>90.0</x:v>
      </x:c>
      <x:c r="C5" t="s">
        <x:v>28</x:v>
      </x:c>
    </x:row>
    <x:row r="6">
      <x:c r="A6" t="s">
        <x:v>15</x:v>
      </x:c>
      <x:c r="B6">
        <x:v>75.0</x:v>
      </x:c>
      <x:c r="C6" t="s">
        <x:v>29</x:v>
      </x:c>
    </x:row>
    <x:row r="7">
      <x:c r="A7" t="s">
        <x:v>17</x:v>
      </x:c>
      <x:c r="B7">
        <x:v>60.0</x:v>
      </x:c>
      <x:c r="C7" t="s">
        <x:v>30</x:v>
      </x:c>
    </x:row>
    <x:row r="8">
      <x:c r="A8" t="s">
        <x:v>19</x:v>
      </x:c>
      <x:c r="B8">
        <x:v>0.0</x:v>
      </x:c>
      <x:c r="C8" t="s">
        <x:v>31</x:v>
      </x:c>
    </x:row>
    <x:row r="10" ht="31.5" customHeight="1">
      <x:c r="A10" s="104" t="str">
        <x:v>Nota</x:v>
      </x:c>
      <x:c r="B10" s="135" t="str">
        <x:v>Los niveles aplican a cumplimiento calculado según la dirección del KPI. Las metas del ejercicio son propuestas; no son objetivos corporativos oficiales.</x:v>
      </x:c>
    </x:row>
    <x:row r="12" ht="34.5" customHeight="1">
      <x:c r="A12" s="104" t="str">
        <x:v>Regla de cálculo</x:v>
      </x:c>
      <x:c r="B12" s="135" t="str">
        <x:v>Mayor es mejor: Real / Meta × 100. Menor es mejor: Meta / Real × 100. Los KPI de ranking usan menor posición = mejor.</x:v>
      </x:c>
    </x:row>
    <x:row r="14" ht="42" customHeight="1">
      <x:c r="A14" s="104" t="str">
        <x:v>Importante</x:v>
      </x:c>
      <x:c r="B14" s="135" t="str">
        <x:v>Los datos ficticios se identifican en “Base Southwest”. No presentar las estimaciones como desempeño real de Southwest.</x:v>
      </x:c>
    </x:row>
    <x:row r="21" ht="15.75" customHeight="1"/>
    <x:row r="22" ht="15.75" customHeight="1"/>
    <x:row r="23" ht="15.75" customHeight="1"/>
    <x:row r="24" ht="15.75" customHeight="1"/>
    <x:row r="25" ht="15.75" customHeight="1"/>
    <x:row r="26" ht="15.75" customHeight="1"/>
    <x:row r="27" ht="15.75" customHeight="1"/>
    <x:row r="28" ht="15.75" customHeight="1"/>
    <x:row r="29" ht="15.75" customHeight="1"/>
    <x:row r="30" ht="15.75" customHeight="1"/>
    <x:row r="31" ht="15.75" customHeight="1"/>
    <x:row r="32" ht="15.75" customHeight="1"/>
    <x:row r="33" ht="15.75" customHeight="1"/>
    <x:row r="34" ht="15.75" customHeight="1"/>
    <x:row r="35" ht="15.75" customHeight="1"/>
    <x:row r="36" ht="15.75" customHeight="1"/>
    <x:row r="37" ht="15.75" customHeight="1"/>
    <x:row r="38" ht="15.75" customHeight="1"/>
    <x:row r="39" ht="15.75" customHeight="1"/>
    <x:row r="40" ht="15.75" customHeight="1"/>
    <x:row r="41" ht="15.75" customHeight="1"/>
    <x:row r="42" ht="15.75" customHeight="1"/>
    <x:row r="43" ht="15.75" customHeight="1"/>
    <x:row r="44" ht="15.75" customHeight="1"/>
    <x:row r="45" ht="15.75" customHeight="1"/>
    <x:row r="46" ht="15.75" customHeight="1"/>
    <x:row r="47" ht="15.75" customHeight="1"/>
    <x:row r="48" ht="15.75" customHeight="1"/>
    <x:row r="49" ht="15.75" customHeight="1"/>
    <x:row r="50" ht="15.75" customHeight="1"/>
    <x:row r="51" ht="15.75" customHeight="1"/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</x:sheetData>
  <x:mergeCells>
    <x:mergeCell ref="A1:C1"/>
    <x:mergeCell ref="B10:F10"/>
    <x:mergeCell ref="B12:F12"/>
    <x:mergeCell ref="B14:F14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4.430000305175781" defaultRowHeight="15"/>
  <x:cols>
    <x:col min="1" max="1" width="10" customWidth="1"/>
    <x:col min="2" max="2" width="16" customWidth="1"/>
    <x:col min="3" max="3" width="25" customWidth="1"/>
    <x:col min="4" max="4" width="38" customWidth="1"/>
    <x:col min="5" max="6" width="17" customWidth="1"/>
    <x:col min="7" max="7" width="20" customWidth="1"/>
    <x:col min="8" max="8" width="18" customWidth="1"/>
    <x:col min="9" max="10" width="24" customWidth="1"/>
    <x:col min="11" max="11" width="40" customWidth="1"/>
  </x:cols>
  <x:sheetData>
    <x:row r="1" ht="33.75" customHeight="1">
      <x:c r="A1" s="111" t="s">
        <x:v>32</x:v>
      </x:c>
      <x:c r="B1" s="111" t="s">
        <x:v>33</x:v>
      </x:c>
      <x:c r="C1" s="111" t="s">
        <x:v>34</x:v>
      </x:c>
      <x:c r="D1" s="111" t="s">
        <x:v>35</x:v>
      </x:c>
      <x:c r="E1" s="111" t="s">
        <x:v>36</x:v>
      </x:c>
      <x:c r="F1" s="111" t="s">
        <x:v>37</x:v>
      </x:c>
      <x:c r="G1" s="111" t="s">
        <x:v>38</x:v>
      </x:c>
      <x:c r="H1" s="111" t="s">
        <x:v>39</x:v>
      </x:c>
      <x:c r="I1" s="111" t="s">
        <x:v>40</x:v>
      </x:c>
      <x:c r="J1" s="111" t="s">
        <x:v>41</x:v>
      </x:c>
      <x:c r="K1" s="111" t="s">
        <x:v>42</x:v>
      </x:c>
    </x:row>
    <x:row r="2" ht="30" customHeight="1">
      <x:c r="A2" s="136" t="n">
        <x:v>2025</x:v>
      </x:c>
      <x:c r="B2" s="136" t="str">
        <x:v>Octubre</x:v>
      </x:c>
      <x:c r="C2" s="136" t="str">
        <x:v>Procesos internos</x:v>
      </x:c>
      <x:c r="D2" s="136" t="str">
        <x:v>Llegadas puntuales</x:v>
      </x:c>
      <x:c r="E2" s="136" t="n">
        <x:v>82</x:v>
      </x:c>
      <x:c r="F2" s="136" t="n">
        <x:v>77.1</x:v>
      </x:c>
      <x:c r="G2" s="136" t="str">
        <x:v>Mayor es mejor</x:v>
      </x:c>
      <x:c r="H2" s="137" t="n">
        <x:f t="shared" ref="H2:H121" si="1">IF(OR(E2="",F2="",E2=0,F2=0),"",IF(G2="Menor es mejor",E2/F2*100,F2/E2*100))</x:f>
        <x:v>94.02439024390243</x:v>
      </x:c>
      <x:c r="I2" s="136" t="str">
        <x:f t="shared" ref="I2:I121" si="2">IF(OR(H2="",NOT(ISNUMBER(H2))),"SIN DATOS",IF(H2&gt;=110,"🌟 SUPERA META",IF(H2&gt;=100,"🟢 LOGRADO",IF(H2&gt;=90,"🟡 CASI LOGRADO",IF(H2&gt;=75,"🟠 RIESGO MODERADO",IF(H2&gt;=60,"🔴 RIESGO ALTO","⛔ CRÍTICO"))))))</x:f>
        <x:v>🟡 CASI LOGRADO</x:v>
      </x:c>
      <x:c r="J2" s="136" t="str">
        <x:v>Operaciones de red</x:v>
      </x:c>
      <x:c r="K2" s="136" t="str">
        <x:v>DOT reportó 77.1% en octubre 2025; meta ilustrativa de 82%.</x:v>
      </x:c>
    </x:row>
    <x:row r="3" ht="30" customHeight="1">
      <x:c r="A3" s="136" t="n">
        <x:v>2025</x:v>
      </x:c>
      <x:c r="B3" s="136" t="str">
        <x:v>Octubre</x:v>
      </x:c>
      <x:c r="C3" s="136" t="str">
        <x:v>Procesos internos</x:v>
      </x:c>
      <x:c r="D3" s="136" t="str">
        <x:v>Vuelos cancelados</x:v>
      </x:c>
      <x:c r="E3" s="136" t="n">
        <x:v>0.2</x:v>
      </x:c>
      <x:c r="F3" s="136" t="n">
        <x:v>0.3</x:v>
      </x:c>
      <x:c r="G3" s="136" t="str">
        <x:v>Menor es mejor</x:v>
      </x:c>
      <x:c r="H3" s="137" t="n">
        <x:f>IF(OR(E3="",F3="",E3=0,F3=0),"",IF(G3="Menor es mejor",E3/F3*100,F3/E3*100))</x:f>
        <x:v>66.66666666666667</x:v>
      </x:c>
      <x:c r="I3" s="136" t="str">
        <x:f>IF(OR(H3="",NOT(ISNUMBER(H3))),"SIN DATOS",IF(H3&gt;=110,"🌟 SUPERA META",IF(H3&gt;=100,"🟢 LOGRADO",IF(H3&gt;=90,"🟡 CASI LOGRADO",IF(H3&gt;=75,"🟠 RIESGO MODERADO",IF(H3&gt;=60,"🔴 RIESGO ALTO","⛔ CRÍTICO"))))))</x:f>
        <x:v>🔴 RIESGO ALTO</x:v>
      </x:c>
      <x:c r="J3" s="136" t="str">
        <x:v>Control operacional</x:v>
      </x:c>
      <x:c r="K3" s="136" t="str">
        <x:v>DOT reportó 0.3% en octubre 2025; meta ilustrativa de 0.2%.</x:v>
      </x:c>
    </x:row>
    <x:row r="4" ht="30" customHeight="1">
      <x:c r="A4" s="136" t="n">
        <x:v>2025</x:v>
      </x:c>
      <x:c r="B4" s="136" t="str">
        <x:v>Octubre</x:v>
      </x:c>
      <x:c r="C4" s="136" t="str">
        <x:v>Clientes</x:v>
      </x:c>
      <x:c r="D4" s="136" t="str">
        <x:v>Equipaje mal manejado por cada 100 piezas</x:v>
      </x:c>
      <x:c r="E4" s="136" t="n">
        <x:v>0.28</x:v>
      </x:c>
      <x:c r="F4" s="136" t="n">
        <x:v>0.3</x:v>
      </x:c>
      <x:c r="G4" s="136" t="str">
        <x:v>Menor es mejor</x:v>
      </x:c>
      <x:c r="H4" s="137" t="n">
        <x:f>IF(OR(E4="",F4="",E4=0,F4=0),"",IF(G4="Menor es mejor",E4/F4*100,F4/E4*100))</x:f>
        <x:v>93.33333333333334</x:v>
      </x:c>
      <x:c r="I4" s="136" t="str">
        <x:f>IF(OR(H4="",NOT(ISNUMBER(H4))),"SIN DATOS",IF(H4&gt;=110,"🌟 SUPERA META",IF(H4&gt;=100,"🟢 LOGRADO",IF(H4&gt;=90,"🟡 CASI LOGRADO",IF(H4&gt;=75,"🟠 RIESGO MODERADO",IF(H4&gt;=60,"🔴 RIESGO ALTO","⛔ CRÍTICO"))))))</x:f>
        <x:v>🟡 CASI LOGRADO</x:v>
      </x:c>
      <x:c r="J4" s="136" t="str">
        <x:v>Operaciones de equipaje</x:v>
      </x:c>
      <x:c r="K4" s="136" t="str">
        <x:v>DOT reportó 0.30 por cada 100 piezas; meta ilustrativa de 0.28.</x:v>
      </x:c>
    </x:row>
    <x:row r="5">
      <x:c r="A5" s="136">
        <x:v>2025.0</x:v>
      </x:c>
      <x:c r="B5" s="136"/>
      <x:c r="C5" s="136"/>
      <x:c r="D5" s="136"/>
      <x:c r="E5" s="136"/>
      <x:c r="F5" s="136"/>
      <x:c r="G5" s="136"/>
      <x:c r="H5" s="137" t="str">
        <x:f t="shared" si="1"/>
      </x:c>
      <x:c r="I5" s="136" t="str">
        <x:f t="shared" si="2"/>
        <x:v>SIN DATOS</x:v>
      </x:c>
      <x:c r="J5" s="136"/>
      <x:c r="K5" s="136"/>
    </x:row>
    <x:row r="6">
      <x:c r="A6" s="136">
        <x:v>2025.0</x:v>
      </x:c>
      <x:c r="B6" s="136"/>
      <x:c r="C6" s="136"/>
      <x:c r="D6" s="136"/>
      <x:c r="E6" s="136"/>
      <x:c r="F6" s="136"/>
      <x:c r="G6" s="136"/>
      <x:c r="H6" s="137" t="str">
        <x:f t="shared" si="1"/>
      </x:c>
      <x:c r="I6" s="136" t="str">
        <x:f t="shared" si="2"/>
        <x:v>SIN DATOS</x:v>
      </x:c>
      <x:c r="J6" s="136"/>
      <x:c r="K6" s="136"/>
    </x:row>
    <x:row r="7">
      <x:c r="A7" s="136">
        <x:v>2025.0</x:v>
      </x:c>
      <x:c r="B7" s="136"/>
      <x:c r="C7" s="136"/>
      <x:c r="D7" s="136"/>
      <x:c r="E7" s="136"/>
      <x:c r="F7" s="136"/>
      <x:c r="G7" s="136"/>
      <x:c r="H7" s="137" t="str">
        <x:f t="shared" si="1"/>
      </x:c>
      <x:c r="I7" s="136" t="str">
        <x:f t="shared" si="2"/>
        <x:v>SIN DATOS</x:v>
      </x:c>
      <x:c r="J7" s="136"/>
      <x:c r="K7" s="136"/>
    </x:row>
    <x:row r="8">
      <x:c r="A8" s="136">
        <x:v>2025.0</x:v>
      </x:c>
      <x:c r="B8" s="136"/>
      <x:c r="C8" s="136"/>
      <x:c r="D8" s="136"/>
      <x:c r="E8" s="136"/>
      <x:c r="F8" s="136"/>
      <x:c r="G8" s="136"/>
      <x:c r="H8" s="137" t="str">
        <x:f t="shared" si="1"/>
      </x:c>
      <x:c r="I8" s="136" t="str">
        <x:f t="shared" si="2"/>
        <x:v>SIN DATOS</x:v>
      </x:c>
      <x:c r="J8" s="136"/>
      <x:c r="K8" s="136"/>
    </x:row>
    <x:row r="9">
      <x:c r="A9" s="136">
        <x:v>2025.0</x:v>
      </x:c>
      <x:c r="B9" s="136"/>
      <x:c r="C9" s="136"/>
      <x:c r="D9" s="136"/>
      <x:c r="E9" s="136"/>
      <x:c r="F9" s="136"/>
      <x:c r="G9" s="136"/>
      <x:c r="H9" s="137" t="str">
        <x:f t="shared" si="1"/>
      </x:c>
      <x:c r="I9" s="136" t="str">
        <x:f t="shared" si="2"/>
        <x:v>SIN DATOS</x:v>
      </x:c>
      <x:c r="J9" s="136"/>
      <x:c r="K9" s="136"/>
    </x:row>
    <x:row r="10">
      <x:c r="A10" s="136">
        <x:v>2025.0</x:v>
      </x:c>
      <x:c r="B10" s="136"/>
      <x:c r="C10" s="136"/>
      <x:c r="D10" s="136"/>
      <x:c r="E10" s="136"/>
      <x:c r="F10" s="136"/>
      <x:c r="G10" s="136"/>
      <x:c r="H10" s="137" t="str">
        <x:f t="shared" si="1"/>
      </x:c>
      <x:c r="I10" s="136" t="str">
        <x:f t="shared" si="2"/>
        <x:v>SIN DATOS</x:v>
      </x:c>
      <x:c r="J10" s="136"/>
      <x:c r="K10" s="136"/>
    </x:row>
    <x:row r="11">
      <x:c r="A11" s="136">
        <x:v>2025.0</x:v>
      </x:c>
      <x:c r="B11" s="136"/>
      <x:c r="C11" s="136"/>
      <x:c r="D11" s="136"/>
      <x:c r="E11" s="136"/>
      <x:c r="F11" s="136"/>
      <x:c r="G11" s="136"/>
      <x:c r="H11" s="137" t="str">
        <x:f t="shared" si="1"/>
      </x:c>
      <x:c r="I11" s="136" t="str">
        <x:f t="shared" si="2"/>
        <x:v>SIN DATOS</x:v>
      </x:c>
      <x:c r="J11" s="136"/>
      <x:c r="K11" s="136"/>
    </x:row>
    <x:row r="12">
      <x:c r="A12" s="136">
        <x:v>2025.0</x:v>
      </x:c>
      <x:c r="B12" s="136"/>
      <x:c r="C12" s="136"/>
      <x:c r="D12" s="136"/>
      <x:c r="E12" s="136"/>
      <x:c r="F12" s="136"/>
      <x:c r="G12" s="136"/>
      <x:c r="H12" s="137" t="str">
        <x:f t="shared" si="1"/>
      </x:c>
      <x:c r="I12" s="136" t="str">
        <x:f t="shared" si="2"/>
        <x:v>SIN DATOS</x:v>
      </x:c>
      <x:c r="J12" s="136"/>
      <x:c r="K12" s="136"/>
    </x:row>
    <x:row r="13">
      <x:c r="A13" s="136">
        <x:v>2025.0</x:v>
      </x:c>
      <x:c r="B13" s="136"/>
      <x:c r="C13" s="136"/>
      <x:c r="D13" s="136"/>
      <x:c r="E13" s="136"/>
      <x:c r="F13" s="136"/>
      <x:c r="G13" s="136"/>
      <x:c r="H13" s="137" t="str">
        <x:f t="shared" si="1"/>
      </x:c>
      <x:c r="I13" s="136" t="str">
        <x:f t="shared" si="2"/>
        <x:v>SIN DATOS</x:v>
      </x:c>
      <x:c r="J13" s="136"/>
      <x:c r="K13" s="136"/>
    </x:row>
    <x:row r="14">
      <x:c r="A14" s="136">
        <x:v>2025.0</x:v>
      </x:c>
      <x:c r="B14" s="136"/>
      <x:c r="C14" s="136"/>
      <x:c r="D14" s="136"/>
      <x:c r="E14" s="136"/>
      <x:c r="F14" s="136"/>
      <x:c r="G14" s="136"/>
      <x:c r="H14" s="137" t="str">
        <x:f t="shared" si="1"/>
      </x:c>
      <x:c r="I14" s="136" t="str">
        <x:f t="shared" si="2"/>
        <x:v>SIN DATOS</x:v>
      </x:c>
      <x:c r="J14" s="136"/>
      <x:c r="K14" s="136"/>
    </x:row>
    <x:row r="15">
      <x:c r="A15" s="136">
        <x:v>2025.0</x:v>
      </x:c>
      <x:c r="B15" s="136"/>
      <x:c r="C15" s="136"/>
      <x:c r="D15" s="136"/>
      <x:c r="E15" s="136"/>
      <x:c r="F15" s="136"/>
      <x:c r="G15" s="136"/>
      <x:c r="H15" s="137" t="str">
        <x:f t="shared" si="1"/>
      </x:c>
      <x:c r="I15" s="136" t="str">
        <x:f t="shared" si="2"/>
        <x:v>SIN DATOS</x:v>
      </x:c>
      <x:c r="J15" s="136"/>
      <x:c r="K15" s="136"/>
    </x:row>
    <x:row r="16">
      <x:c r="A16" s="136">
        <x:v>2025.0</x:v>
      </x:c>
      <x:c r="B16" s="136"/>
      <x:c r="C16" s="136"/>
      <x:c r="D16" s="136"/>
      <x:c r="E16" s="136"/>
      <x:c r="F16" s="136"/>
      <x:c r="G16" s="136"/>
      <x:c r="H16" s="137" t="str">
        <x:f t="shared" si="1"/>
      </x:c>
      <x:c r="I16" s="136" t="str">
        <x:f t="shared" si="2"/>
        <x:v>SIN DATOS</x:v>
      </x:c>
      <x:c r="J16" s="136"/>
      <x:c r="K16" s="136"/>
    </x:row>
    <x:row r="17">
      <x:c r="A17" s="136">
        <x:v>2025.0</x:v>
      </x:c>
      <x:c r="B17" s="136"/>
      <x:c r="C17" s="136"/>
      <x:c r="D17" s="136"/>
      <x:c r="E17" s="136"/>
      <x:c r="F17" s="136"/>
      <x:c r="G17" s="136"/>
      <x:c r="H17" s="137" t="str">
        <x:f t="shared" si="1"/>
      </x:c>
      <x:c r="I17" s="136" t="str">
        <x:f t="shared" si="2"/>
        <x:v>SIN DATOS</x:v>
      </x:c>
      <x:c r="J17" s="136"/>
      <x:c r="K17" s="136"/>
    </x:row>
    <x:row r="18">
      <x:c r="A18" s="136">
        <x:v>2025.0</x:v>
      </x:c>
      <x:c r="B18" s="136"/>
      <x:c r="C18" s="136"/>
      <x:c r="D18" s="136"/>
      <x:c r="E18" s="136"/>
      <x:c r="F18" s="136"/>
      <x:c r="G18" s="136"/>
      <x:c r="H18" s="137" t="str">
        <x:f t="shared" si="1"/>
      </x:c>
      <x:c r="I18" s="136" t="str">
        <x:f t="shared" si="2"/>
        <x:v>SIN DATOS</x:v>
      </x:c>
      <x:c r="J18" s="136"/>
      <x:c r="K18" s="136"/>
    </x:row>
    <x:row r="19">
      <x:c r="A19" s="136">
        <x:v>2025.0</x:v>
      </x:c>
      <x:c r="B19" s="136"/>
      <x:c r="C19" s="136"/>
      <x:c r="D19" s="136"/>
      <x:c r="E19" s="136"/>
      <x:c r="F19" s="136"/>
      <x:c r="G19" s="136"/>
      <x:c r="H19" s="137" t="str">
        <x:f t="shared" si="1"/>
      </x:c>
      <x:c r="I19" s="136" t="str">
        <x:f t="shared" si="2"/>
        <x:v>SIN DATOS</x:v>
      </x:c>
      <x:c r="J19" s="136"/>
      <x:c r="K19" s="136"/>
    </x:row>
    <x:row r="20">
      <x:c r="A20" s="136">
        <x:v>2025.0</x:v>
      </x:c>
      <x:c r="B20" s="136"/>
      <x:c r="C20" s="136"/>
      <x:c r="D20" s="136"/>
      <x:c r="E20" s="136"/>
      <x:c r="F20" s="136"/>
      <x:c r="G20" s="136"/>
      <x:c r="H20" s="137" t="str">
        <x:f t="shared" si="1"/>
      </x:c>
      <x:c r="I20" s="136" t="str">
        <x:f t="shared" si="2"/>
        <x:v>SIN DATOS</x:v>
      </x:c>
      <x:c r="J20" s="136"/>
      <x:c r="K20" s="136"/>
    </x:row>
    <x:row r="21" ht="15.75" customHeight="1">
      <x:c r="A21" s="136">
        <x:v>2025.0</x:v>
      </x:c>
      <x:c r="B21" s="136"/>
      <x:c r="C21" s="136"/>
      <x:c r="D21" s="136"/>
      <x:c r="E21" s="136"/>
      <x:c r="F21" s="136"/>
      <x:c r="G21" s="136"/>
      <x:c r="H21" s="137" t="str">
        <x:f t="shared" si="1"/>
      </x:c>
      <x:c r="I21" s="136" t="str">
        <x:f t="shared" si="2"/>
        <x:v>SIN DATOS</x:v>
      </x:c>
      <x:c r="J21" s="136"/>
      <x:c r="K21" s="136"/>
    </x:row>
    <x:row r="22" ht="15.75" customHeight="1">
      <x:c r="A22" s="136">
        <x:v>2025.0</x:v>
      </x:c>
      <x:c r="B22" s="136"/>
      <x:c r="C22" s="136"/>
      <x:c r="D22" s="136"/>
      <x:c r="E22" s="136"/>
      <x:c r="F22" s="136"/>
      <x:c r="G22" s="136"/>
      <x:c r="H22" s="137" t="str">
        <x:f t="shared" si="1"/>
      </x:c>
      <x:c r="I22" s="136" t="str">
        <x:f t="shared" si="2"/>
        <x:v>SIN DATOS</x:v>
      </x:c>
      <x:c r="J22" s="136"/>
      <x:c r="K22" s="136"/>
    </x:row>
    <x:row r="23" ht="15.75" customHeight="1">
      <x:c r="A23" s="136">
        <x:v>2025.0</x:v>
      </x:c>
      <x:c r="B23" s="136"/>
      <x:c r="C23" s="136"/>
      <x:c r="D23" s="136"/>
      <x:c r="E23" s="136"/>
      <x:c r="F23" s="136"/>
      <x:c r="G23" s="136"/>
      <x:c r="H23" s="137" t="str">
        <x:f t="shared" si="1"/>
      </x:c>
      <x:c r="I23" s="136" t="str">
        <x:f t="shared" si="2"/>
        <x:v>SIN DATOS</x:v>
      </x:c>
      <x:c r="J23" s="136"/>
      <x:c r="K23" s="136"/>
    </x:row>
    <x:row r="24" ht="15.75" customHeight="1">
      <x:c r="A24" s="136">
        <x:v>2025.0</x:v>
      </x:c>
      <x:c r="B24" s="136"/>
      <x:c r="C24" s="136"/>
      <x:c r="D24" s="136"/>
      <x:c r="E24" s="136"/>
      <x:c r="F24" s="136"/>
      <x:c r="G24" s="136"/>
      <x:c r="H24" s="137" t="str">
        <x:f t="shared" si="1"/>
      </x:c>
      <x:c r="I24" s="136" t="str">
        <x:f t="shared" si="2"/>
        <x:v>SIN DATOS</x:v>
      </x:c>
      <x:c r="J24" s="136"/>
      <x:c r="K24" s="136"/>
    </x:row>
    <x:row r="25" ht="15.75" customHeight="1">
      <x:c r="A25" s="136">
        <x:v>2025.0</x:v>
      </x:c>
      <x:c r="B25" s="136"/>
      <x:c r="C25" s="136"/>
      <x:c r="D25" s="136"/>
      <x:c r="E25" s="136"/>
      <x:c r="F25" s="136"/>
      <x:c r="G25" s="136"/>
      <x:c r="H25" s="137" t="str">
        <x:f t="shared" si="1"/>
      </x:c>
      <x:c r="I25" s="136" t="str">
        <x:f t="shared" si="2"/>
        <x:v>SIN DATOS</x:v>
      </x:c>
      <x:c r="J25" s="136"/>
      <x:c r="K25" s="136"/>
    </x:row>
    <x:row r="26" ht="15.75" customHeight="1">
      <x:c r="A26" s="136">
        <x:v>2025.0</x:v>
      </x:c>
      <x:c r="B26" s="136"/>
      <x:c r="C26" s="136"/>
      <x:c r="D26" s="136"/>
      <x:c r="E26" s="136"/>
      <x:c r="F26" s="136"/>
      <x:c r="G26" s="136"/>
      <x:c r="H26" s="137" t="str">
        <x:f t="shared" si="1"/>
      </x:c>
      <x:c r="I26" s="136" t="str">
        <x:f t="shared" si="2"/>
        <x:v>SIN DATOS</x:v>
      </x:c>
      <x:c r="J26" s="136"/>
      <x:c r="K26" s="136"/>
    </x:row>
    <x:row r="27" ht="15.75" customHeight="1">
      <x:c r="A27" s="136">
        <x:v>2025.0</x:v>
      </x:c>
      <x:c r="B27" s="136"/>
      <x:c r="C27" s="136"/>
      <x:c r="D27" s="136"/>
      <x:c r="E27" s="136"/>
      <x:c r="F27" s="136"/>
      <x:c r="G27" s="136"/>
      <x:c r="H27" s="137" t="str">
        <x:f t="shared" si="1"/>
      </x:c>
      <x:c r="I27" s="136" t="str">
        <x:f t="shared" si="2"/>
        <x:v>SIN DATOS</x:v>
      </x:c>
      <x:c r="J27" s="136"/>
      <x:c r="K27" s="136"/>
    </x:row>
    <x:row r="28" ht="15.75" customHeight="1">
      <x:c r="A28" s="136">
        <x:v>2025.0</x:v>
      </x:c>
      <x:c r="B28" s="136"/>
      <x:c r="C28" s="136"/>
      <x:c r="D28" s="136"/>
      <x:c r="E28" s="136"/>
      <x:c r="F28" s="136"/>
      <x:c r="G28" s="136"/>
      <x:c r="H28" s="137" t="str">
        <x:f t="shared" si="1"/>
      </x:c>
      <x:c r="I28" s="136" t="str">
        <x:f t="shared" si="2"/>
        <x:v>SIN DATOS</x:v>
      </x:c>
      <x:c r="J28" s="136"/>
      <x:c r="K28" s="136"/>
    </x:row>
    <x:row r="29" ht="15.75" customHeight="1">
      <x:c r="A29" s="136">
        <x:v>2025.0</x:v>
      </x:c>
      <x:c r="B29" s="136"/>
      <x:c r="C29" s="136"/>
      <x:c r="D29" s="136"/>
      <x:c r="E29" s="136"/>
      <x:c r="F29" s="136"/>
      <x:c r="G29" s="136"/>
      <x:c r="H29" s="137" t="str">
        <x:f t="shared" si="1"/>
      </x:c>
      <x:c r="I29" s="136" t="str">
        <x:f t="shared" si="2"/>
        <x:v>SIN DATOS</x:v>
      </x:c>
      <x:c r="J29" s="136"/>
      <x:c r="K29" s="136"/>
    </x:row>
    <x:row r="30" ht="15.75" customHeight="1">
      <x:c r="A30" s="136">
        <x:v>2025.0</x:v>
      </x:c>
      <x:c r="B30" s="136"/>
      <x:c r="C30" s="136"/>
      <x:c r="D30" s="136"/>
      <x:c r="E30" s="136"/>
      <x:c r="F30" s="136"/>
      <x:c r="G30" s="136"/>
      <x:c r="H30" s="137" t="str">
        <x:f t="shared" si="1"/>
      </x:c>
      <x:c r="I30" s="136" t="str">
        <x:f t="shared" si="2"/>
        <x:v>SIN DATOS</x:v>
      </x:c>
      <x:c r="J30" s="136"/>
      <x:c r="K30" s="136"/>
    </x:row>
    <x:row r="31" ht="15.75" customHeight="1">
      <x:c r="A31" s="136">
        <x:v>2025.0</x:v>
      </x:c>
      <x:c r="B31" s="136"/>
      <x:c r="C31" s="136"/>
      <x:c r="D31" s="136"/>
      <x:c r="E31" s="136"/>
      <x:c r="F31" s="136"/>
      <x:c r="G31" s="136"/>
      <x:c r="H31" s="137" t="str">
        <x:f t="shared" si="1"/>
      </x:c>
      <x:c r="I31" s="136" t="str">
        <x:f t="shared" si="2"/>
        <x:v>SIN DATOS</x:v>
      </x:c>
      <x:c r="J31" s="136"/>
      <x:c r="K31" s="136"/>
    </x:row>
    <x:row r="32" ht="15.75" customHeight="1">
      <x:c r="A32" s="136">
        <x:v>2025.0</x:v>
      </x:c>
      <x:c r="B32" s="136"/>
      <x:c r="C32" s="136"/>
      <x:c r="D32" s="136"/>
      <x:c r="E32" s="136"/>
      <x:c r="F32" s="136"/>
      <x:c r="G32" s="136"/>
      <x:c r="H32" s="137" t="str">
        <x:f t="shared" si="1"/>
      </x:c>
      <x:c r="I32" s="136" t="str">
        <x:f t="shared" si="2"/>
        <x:v>SIN DATOS</x:v>
      </x:c>
      <x:c r="J32" s="136"/>
      <x:c r="K32" s="136"/>
    </x:row>
    <x:row r="33" ht="15.75" customHeight="1">
      <x:c r="A33" s="136">
        <x:v>2025.0</x:v>
      </x:c>
      <x:c r="B33" s="136"/>
      <x:c r="C33" s="136"/>
      <x:c r="D33" s="136"/>
      <x:c r="E33" s="136"/>
      <x:c r="F33" s="136"/>
      <x:c r="G33" s="136"/>
      <x:c r="H33" s="137" t="str">
        <x:f t="shared" si="1"/>
      </x:c>
      <x:c r="I33" s="136" t="str">
        <x:f t="shared" si="2"/>
        <x:v>SIN DATOS</x:v>
      </x:c>
      <x:c r="J33" s="136"/>
      <x:c r="K33" s="136"/>
    </x:row>
    <x:row r="34" ht="15.75" customHeight="1">
      <x:c r="A34" s="136">
        <x:v>2025.0</x:v>
      </x:c>
      <x:c r="B34" s="136"/>
      <x:c r="C34" s="136"/>
      <x:c r="D34" s="136"/>
      <x:c r="E34" s="136"/>
      <x:c r="F34" s="136"/>
      <x:c r="G34" s="136"/>
      <x:c r="H34" s="137" t="str">
        <x:f t="shared" si="1"/>
      </x:c>
      <x:c r="I34" s="136" t="str">
        <x:f t="shared" si="2"/>
        <x:v>SIN DATOS</x:v>
      </x:c>
      <x:c r="J34" s="136"/>
      <x:c r="K34" s="136"/>
    </x:row>
    <x:row r="35" ht="15.75" customHeight="1">
      <x:c r="A35" s="136">
        <x:v>2025.0</x:v>
      </x:c>
      <x:c r="B35" s="136"/>
      <x:c r="C35" s="136"/>
      <x:c r="D35" s="136"/>
      <x:c r="E35" s="136"/>
      <x:c r="F35" s="136"/>
      <x:c r="G35" s="136"/>
      <x:c r="H35" s="137" t="str">
        <x:f t="shared" si="1"/>
      </x:c>
      <x:c r="I35" s="136" t="str">
        <x:f t="shared" si="2"/>
        <x:v>SIN DATOS</x:v>
      </x:c>
      <x:c r="J35" s="136"/>
      <x:c r="K35" s="136"/>
    </x:row>
    <x:row r="36" ht="15.75" customHeight="1">
      <x:c r="A36" s="136">
        <x:v>2025.0</x:v>
      </x:c>
      <x:c r="B36" s="136"/>
      <x:c r="C36" s="136"/>
      <x:c r="D36" s="136"/>
      <x:c r="E36" s="136"/>
      <x:c r="F36" s="136"/>
      <x:c r="G36" s="136"/>
      <x:c r="H36" s="137" t="str">
        <x:f t="shared" si="1"/>
      </x:c>
      <x:c r="I36" s="136" t="str">
        <x:f t="shared" si="2"/>
        <x:v>SIN DATOS</x:v>
      </x:c>
      <x:c r="J36" s="136"/>
      <x:c r="K36" s="136"/>
    </x:row>
    <x:row r="37" ht="15.75" customHeight="1">
      <x:c r="A37" s="136">
        <x:v>2025.0</x:v>
      </x:c>
      <x:c r="B37" s="136"/>
      <x:c r="C37" s="136"/>
      <x:c r="D37" s="136"/>
      <x:c r="E37" s="136"/>
      <x:c r="F37" s="136"/>
      <x:c r="G37" s="136"/>
      <x:c r="H37" s="137" t="str">
        <x:f t="shared" si="1"/>
      </x:c>
      <x:c r="I37" s="136" t="str">
        <x:f t="shared" si="2"/>
        <x:v>SIN DATOS</x:v>
      </x:c>
      <x:c r="J37" s="136"/>
      <x:c r="K37" s="136"/>
    </x:row>
    <x:row r="38" ht="15.75" customHeight="1">
      <x:c r="A38" s="136">
        <x:v>2025.0</x:v>
      </x:c>
      <x:c r="B38" s="136"/>
      <x:c r="C38" s="136"/>
      <x:c r="D38" s="136"/>
      <x:c r="E38" s="136"/>
      <x:c r="F38" s="136"/>
      <x:c r="G38" s="136"/>
      <x:c r="H38" s="137" t="str">
        <x:f t="shared" si="1"/>
      </x:c>
      <x:c r="I38" s="136" t="str">
        <x:f t="shared" si="2"/>
        <x:v>SIN DATOS</x:v>
      </x:c>
      <x:c r="J38" s="136"/>
      <x:c r="K38" s="136"/>
    </x:row>
    <x:row r="39" ht="15.75" customHeight="1">
      <x:c r="A39" s="136">
        <x:v>2025.0</x:v>
      </x:c>
      <x:c r="B39" s="136"/>
      <x:c r="C39" s="136"/>
      <x:c r="D39" s="136"/>
      <x:c r="E39" s="136"/>
      <x:c r="F39" s="136"/>
      <x:c r="G39" s="136"/>
      <x:c r="H39" s="137" t="str">
        <x:f t="shared" si="1"/>
      </x:c>
      <x:c r="I39" s="136" t="str">
        <x:f t="shared" si="2"/>
        <x:v>SIN DATOS</x:v>
      </x:c>
      <x:c r="J39" s="136"/>
      <x:c r="K39" s="136"/>
    </x:row>
    <x:row r="40" ht="15.75" customHeight="1">
      <x:c r="A40" s="136">
        <x:v>2025.0</x:v>
      </x:c>
      <x:c r="B40" s="136"/>
      <x:c r="C40" s="136"/>
      <x:c r="D40" s="136"/>
      <x:c r="E40" s="136"/>
      <x:c r="F40" s="136"/>
      <x:c r="G40" s="136"/>
      <x:c r="H40" s="137" t="str">
        <x:f t="shared" si="1"/>
      </x:c>
      <x:c r="I40" s="136" t="str">
        <x:f t="shared" si="2"/>
        <x:v>SIN DATOS</x:v>
      </x:c>
      <x:c r="J40" s="136"/>
      <x:c r="K40" s="136"/>
    </x:row>
    <x:row r="41" ht="15.75" customHeight="1">
      <x:c r="A41" s="136">
        <x:v>2025.0</x:v>
      </x:c>
      <x:c r="B41" s="136"/>
      <x:c r="C41" s="136"/>
      <x:c r="D41" s="136"/>
      <x:c r="E41" s="136"/>
      <x:c r="F41" s="136"/>
      <x:c r="G41" s="136"/>
      <x:c r="H41" s="137" t="str">
        <x:f t="shared" si="1"/>
      </x:c>
      <x:c r="I41" s="136" t="str">
        <x:f t="shared" si="2"/>
        <x:v>SIN DATOS</x:v>
      </x:c>
      <x:c r="J41" s="136"/>
      <x:c r="K41" s="136"/>
    </x:row>
    <x:row r="42" ht="15.75" customHeight="1">
      <x:c r="A42" s="136">
        <x:v>2025.0</x:v>
      </x:c>
      <x:c r="B42" s="136"/>
      <x:c r="C42" s="136"/>
      <x:c r="D42" s="136"/>
      <x:c r="E42" s="136"/>
      <x:c r="F42" s="136"/>
      <x:c r="G42" s="136"/>
      <x:c r="H42" s="137" t="str">
        <x:f t="shared" si="1"/>
      </x:c>
      <x:c r="I42" s="136" t="str">
        <x:f t="shared" si="2"/>
        <x:v>SIN DATOS</x:v>
      </x:c>
      <x:c r="J42" s="136"/>
      <x:c r="K42" s="136"/>
    </x:row>
    <x:row r="43" ht="15.75" customHeight="1">
      <x:c r="A43" s="136">
        <x:v>2025.0</x:v>
      </x:c>
      <x:c r="B43" s="136"/>
      <x:c r="C43" s="136"/>
      <x:c r="D43" s="136"/>
      <x:c r="E43" s="136"/>
      <x:c r="F43" s="136"/>
      <x:c r="G43" s="136"/>
      <x:c r="H43" s="137" t="str">
        <x:f t="shared" si="1"/>
      </x:c>
      <x:c r="I43" s="136" t="str">
        <x:f t="shared" si="2"/>
        <x:v>SIN DATOS</x:v>
      </x:c>
      <x:c r="J43" s="136"/>
      <x:c r="K43" s="136"/>
    </x:row>
    <x:row r="44" ht="15.75" customHeight="1">
      <x:c r="A44" s="136">
        <x:v>2025.0</x:v>
      </x:c>
      <x:c r="B44" s="136"/>
      <x:c r="C44" s="136"/>
      <x:c r="D44" s="136"/>
      <x:c r="E44" s="136"/>
      <x:c r="F44" s="136"/>
      <x:c r="G44" s="136"/>
      <x:c r="H44" s="137" t="str">
        <x:f t="shared" si="1"/>
      </x:c>
      <x:c r="I44" s="136" t="str">
        <x:f t="shared" si="2"/>
        <x:v>SIN DATOS</x:v>
      </x:c>
      <x:c r="J44" s="136"/>
      <x:c r="K44" s="136"/>
    </x:row>
    <x:row r="45" ht="15.75" customHeight="1">
      <x:c r="A45" s="136">
        <x:v>2025.0</x:v>
      </x:c>
      <x:c r="B45" s="136"/>
      <x:c r="C45" s="136"/>
      <x:c r="D45" s="136"/>
      <x:c r="E45" s="136"/>
      <x:c r="F45" s="136"/>
      <x:c r="G45" s="136"/>
      <x:c r="H45" s="137" t="str">
        <x:f t="shared" si="1"/>
      </x:c>
      <x:c r="I45" s="136" t="str">
        <x:f t="shared" si="2"/>
        <x:v>SIN DATOS</x:v>
      </x:c>
      <x:c r="J45" s="136"/>
      <x:c r="K45" s="136"/>
    </x:row>
    <x:row r="46" ht="15.75" customHeight="1">
      <x:c r="A46" s="136">
        <x:v>2025.0</x:v>
      </x:c>
      <x:c r="B46" s="136"/>
      <x:c r="C46" s="136"/>
      <x:c r="D46" s="136"/>
      <x:c r="E46" s="136"/>
      <x:c r="F46" s="136"/>
      <x:c r="G46" s="136"/>
      <x:c r="H46" s="137" t="str">
        <x:f t="shared" si="1"/>
      </x:c>
      <x:c r="I46" s="136" t="str">
        <x:f t="shared" si="2"/>
        <x:v>SIN DATOS</x:v>
      </x:c>
      <x:c r="J46" s="136"/>
      <x:c r="K46" s="136"/>
    </x:row>
    <x:row r="47" ht="15.75" customHeight="1">
      <x:c r="A47" s="136">
        <x:v>2025.0</x:v>
      </x:c>
      <x:c r="B47" s="136"/>
      <x:c r="C47" s="136"/>
      <x:c r="D47" s="136"/>
      <x:c r="E47" s="136"/>
      <x:c r="F47" s="136"/>
      <x:c r="G47" s="136"/>
      <x:c r="H47" s="137" t="str">
        <x:f t="shared" si="1"/>
      </x:c>
      <x:c r="I47" s="136" t="str">
        <x:f t="shared" si="2"/>
        <x:v>SIN DATOS</x:v>
      </x:c>
      <x:c r="J47" s="136"/>
      <x:c r="K47" s="136"/>
    </x:row>
    <x:row r="48" ht="15.75" customHeight="1">
      <x:c r="A48" s="136">
        <x:v>2025.0</x:v>
      </x:c>
      <x:c r="B48" s="136"/>
      <x:c r="C48" s="136"/>
      <x:c r="D48" s="136"/>
      <x:c r="E48" s="136"/>
      <x:c r="F48" s="136"/>
      <x:c r="G48" s="136"/>
      <x:c r="H48" s="137" t="str">
        <x:f t="shared" si="1"/>
      </x:c>
      <x:c r="I48" s="136" t="str">
        <x:f t="shared" si="2"/>
        <x:v>SIN DATOS</x:v>
      </x:c>
      <x:c r="J48" s="136"/>
      <x:c r="K48" s="136"/>
    </x:row>
    <x:row r="49" ht="15.75" customHeight="1">
      <x:c r="A49" s="136">
        <x:v>2025.0</x:v>
      </x:c>
      <x:c r="B49" s="136"/>
      <x:c r="C49" s="136"/>
      <x:c r="D49" s="136"/>
      <x:c r="E49" s="136"/>
      <x:c r="F49" s="136"/>
      <x:c r="G49" s="136"/>
      <x:c r="H49" s="137" t="str">
        <x:f t="shared" si="1"/>
      </x:c>
      <x:c r="I49" s="136" t="str">
        <x:f t="shared" si="2"/>
        <x:v>SIN DATOS</x:v>
      </x:c>
      <x:c r="J49" s="136"/>
      <x:c r="K49" s="136"/>
    </x:row>
    <x:row r="50" ht="15.75" customHeight="1">
      <x:c r="A50" s="136">
        <x:v>2025.0</x:v>
      </x:c>
      <x:c r="B50" s="136"/>
      <x:c r="C50" s="136"/>
      <x:c r="D50" s="136"/>
      <x:c r="E50" s="136"/>
      <x:c r="F50" s="136"/>
      <x:c r="G50" s="136"/>
      <x:c r="H50" s="137" t="str">
        <x:f t="shared" si="1"/>
      </x:c>
      <x:c r="I50" s="136" t="str">
        <x:f t="shared" si="2"/>
        <x:v>SIN DATOS</x:v>
      </x:c>
      <x:c r="J50" s="136"/>
      <x:c r="K50" s="136"/>
    </x:row>
    <x:row r="51" ht="15.75" customHeight="1">
      <x:c r="A51" s="136">
        <x:v>2025.0</x:v>
      </x:c>
      <x:c r="B51" s="136"/>
      <x:c r="C51" s="136"/>
      <x:c r="D51" s="136"/>
      <x:c r="E51" s="136"/>
      <x:c r="F51" s="136"/>
      <x:c r="G51" s="136"/>
      <x:c r="H51" s="137" t="str">
        <x:f t="shared" si="1"/>
      </x:c>
      <x:c r="I51" s="136" t="str">
        <x:f t="shared" si="2"/>
        <x:v>SIN DATOS</x:v>
      </x:c>
      <x:c r="J51" s="136"/>
      <x:c r="K51" s="136"/>
    </x:row>
    <x:row r="52" ht="15.75" customHeight="1">
      <x:c r="A52" s="136">
        <x:v>2025.0</x:v>
      </x:c>
      <x:c r="B52" s="136"/>
      <x:c r="C52" s="136"/>
      <x:c r="D52" s="136"/>
      <x:c r="E52" s="136"/>
      <x:c r="F52" s="136"/>
      <x:c r="G52" s="136"/>
      <x:c r="H52" s="137" t="str">
        <x:f t="shared" si="1"/>
      </x:c>
      <x:c r="I52" s="136" t="str">
        <x:f t="shared" si="2"/>
        <x:v>SIN DATOS</x:v>
      </x:c>
      <x:c r="J52" s="136"/>
      <x:c r="K52" s="136"/>
    </x:row>
    <x:row r="53" ht="15.75" customHeight="1">
      <x:c r="A53" s="136">
        <x:v>2025.0</x:v>
      </x:c>
      <x:c r="B53" s="136"/>
      <x:c r="C53" s="136"/>
      <x:c r="D53" s="136"/>
      <x:c r="E53" s="136"/>
      <x:c r="F53" s="136"/>
      <x:c r="G53" s="136"/>
      <x:c r="H53" s="137" t="str">
        <x:f t="shared" si="1"/>
      </x:c>
      <x:c r="I53" s="136" t="str">
        <x:f t="shared" si="2"/>
        <x:v>SIN DATOS</x:v>
      </x:c>
      <x:c r="J53" s="136"/>
      <x:c r="K53" s="136"/>
    </x:row>
    <x:row r="54" ht="15.75" customHeight="1">
      <x:c r="A54" s="136">
        <x:v>2025.0</x:v>
      </x:c>
      <x:c r="B54" s="136"/>
      <x:c r="C54" s="136"/>
      <x:c r="D54" s="136"/>
      <x:c r="E54" s="136"/>
      <x:c r="F54" s="136"/>
      <x:c r="G54" s="136"/>
      <x:c r="H54" s="137" t="str">
        <x:f t="shared" si="1"/>
      </x:c>
      <x:c r="I54" s="136" t="str">
        <x:f t="shared" si="2"/>
        <x:v>SIN DATOS</x:v>
      </x:c>
      <x:c r="J54" s="136"/>
      <x:c r="K54" s="136"/>
    </x:row>
    <x:row r="55" ht="15.75" customHeight="1">
      <x:c r="A55" s="136">
        <x:v>2025.0</x:v>
      </x:c>
      <x:c r="B55" s="136"/>
      <x:c r="C55" s="136"/>
      <x:c r="D55" s="136"/>
      <x:c r="E55" s="136"/>
      <x:c r="F55" s="136"/>
      <x:c r="G55" s="136"/>
      <x:c r="H55" s="137" t="str">
        <x:f t="shared" si="1"/>
      </x:c>
      <x:c r="I55" s="136" t="str">
        <x:f t="shared" si="2"/>
        <x:v>SIN DATOS</x:v>
      </x:c>
      <x:c r="J55" s="136"/>
      <x:c r="K55" s="136"/>
    </x:row>
    <x:row r="56" ht="15.75" customHeight="1">
      <x:c r="A56" s="136">
        <x:v>2025.0</x:v>
      </x:c>
      <x:c r="B56" s="136"/>
      <x:c r="C56" s="136"/>
      <x:c r="D56" s="136"/>
      <x:c r="E56" s="136"/>
      <x:c r="F56" s="136"/>
      <x:c r="G56" s="136"/>
      <x:c r="H56" s="137" t="str">
        <x:f t="shared" si="1"/>
      </x:c>
      <x:c r="I56" s="136" t="str">
        <x:f t="shared" si="2"/>
        <x:v>SIN DATOS</x:v>
      </x:c>
      <x:c r="J56" s="136"/>
      <x:c r="K56" s="136"/>
    </x:row>
    <x:row r="57" ht="15.75" customHeight="1">
      <x:c r="A57" s="136">
        <x:v>2025.0</x:v>
      </x:c>
      <x:c r="B57" s="136"/>
      <x:c r="C57" s="136"/>
      <x:c r="D57" s="136"/>
      <x:c r="E57" s="136"/>
      <x:c r="F57" s="136"/>
      <x:c r="G57" s="136"/>
      <x:c r="H57" s="137" t="str">
        <x:f t="shared" si="1"/>
      </x:c>
      <x:c r="I57" s="136" t="str">
        <x:f t="shared" si="2"/>
        <x:v>SIN DATOS</x:v>
      </x:c>
      <x:c r="J57" s="136"/>
      <x:c r="K57" s="136"/>
    </x:row>
    <x:row r="58" ht="15.75" customHeight="1">
      <x:c r="A58" s="136">
        <x:v>2025.0</x:v>
      </x:c>
      <x:c r="B58" s="136"/>
      <x:c r="C58" s="136"/>
      <x:c r="D58" s="136"/>
      <x:c r="E58" s="136"/>
      <x:c r="F58" s="136"/>
      <x:c r="G58" s="136"/>
      <x:c r="H58" s="137" t="str">
        <x:f t="shared" si="1"/>
      </x:c>
      <x:c r="I58" s="136" t="str">
        <x:f t="shared" si="2"/>
        <x:v>SIN DATOS</x:v>
      </x:c>
      <x:c r="J58" s="136"/>
      <x:c r="K58" s="136"/>
    </x:row>
    <x:row r="59" ht="15.75" customHeight="1">
      <x:c r="A59" s="136">
        <x:v>2025.0</x:v>
      </x:c>
      <x:c r="B59" s="136"/>
      <x:c r="C59" s="136"/>
      <x:c r="D59" s="136"/>
      <x:c r="E59" s="136"/>
      <x:c r="F59" s="136"/>
      <x:c r="G59" s="136"/>
      <x:c r="H59" s="137" t="str">
        <x:f t="shared" si="1"/>
      </x:c>
      <x:c r="I59" s="136" t="str">
        <x:f t="shared" si="2"/>
        <x:v>SIN DATOS</x:v>
      </x:c>
      <x:c r="J59" s="136"/>
      <x:c r="K59" s="136"/>
    </x:row>
    <x:row r="60" ht="15.75" customHeight="1">
      <x:c r="A60" s="136">
        <x:v>2025.0</x:v>
      </x:c>
      <x:c r="B60" s="136"/>
      <x:c r="C60" s="136"/>
      <x:c r="D60" s="136"/>
      <x:c r="E60" s="136"/>
      <x:c r="F60" s="136"/>
      <x:c r="G60" s="136"/>
      <x:c r="H60" s="137" t="str">
        <x:f t="shared" si="1"/>
      </x:c>
      <x:c r="I60" s="136" t="str">
        <x:f t="shared" si="2"/>
        <x:v>SIN DATOS</x:v>
      </x:c>
      <x:c r="J60" s="136"/>
      <x:c r="K60" s="136"/>
    </x:row>
    <x:row r="61" ht="15.75" customHeight="1">
      <x:c r="A61" s="136">
        <x:v>2025.0</x:v>
      </x:c>
      <x:c r="B61" s="136"/>
      <x:c r="C61" s="136"/>
      <x:c r="D61" s="136"/>
      <x:c r="E61" s="136"/>
      <x:c r="F61" s="136"/>
      <x:c r="G61" s="136"/>
      <x:c r="H61" s="137" t="str">
        <x:f t="shared" si="1"/>
      </x:c>
      <x:c r="I61" s="136" t="str">
        <x:f t="shared" si="2"/>
        <x:v>SIN DATOS</x:v>
      </x:c>
      <x:c r="J61" s="136"/>
      <x:c r="K61" s="136"/>
    </x:row>
    <x:row r="62" ht="15.75" customHeight="1">
      <x:c r="A62" s="136">
        <x:v>2025.0</x:v>
      </x:c>
      <x:c r="B62" s="136"/>
      <x:c r="C62" s="136"/>
      <x:c r="D62" s="136"/>
      <x:c r="E62" s="136"/>
      <x:c r="F62" s="136"/>
      <x:c r="G62" s="136"/>
      <x:c r="H62" s="137" t="str">
        <x:f t="shared" si="1"/>
      </x:c>
      <x:c r="I62" s="136" t="str">
        <x:f t="shared" si="2"/>
        <x:v>SIN DATOS</x:v>
      </x:c>
      <x:c r="J62" s="136"/>
      <x:c r="K62" s="136"/>
    </x:row>
    <x:row r="63" ht="15.75" customHeight="1">
      <x:c r="A63" s="136">
        <x:v>2025.0</x:v>
      </x:c>
      <x:c r="B63" s="136"/>
      <x:c r="C63" s="136"/>
      <x:c r="D63" s="136"/>
      <x:c r="E63" s="136"/>
      <x:c r="F63" s="136"/>
      <x:c r="G63" s="136"/>
      <x:c r="H63" s="137" t="str">
        <x:f t="shared" si="1"/>
      </x:c>
      <x:c r="I63" s="136" t="str">
        <x:f t="shared" si="2"/>
        <x:v>SIN DATOS</x:v>
      </x:c>
      <x:c r="J63" s="136"/>
      <x:c r="K63" s="136"/>
    </x:row>
    <x:row r="64" ht="15.75" customHeight="1">
      <x:c r="A64" s="136">
        <x:v>2025.0</x:v>
      </x:c>
      <x:c r="B64" s="136"/>
      <x:c r="C64" s="136"/>
      <x:c r="D64" s="136"/>
      <x:c r="E64" s="136"/>
      <x:c r="F64" s="136"/>
      <x:c r="G64" s="136"/>
      <x:c r="H64" s="137" t="str">
        <x:f t="shared" si="1"/>
      </x:c>
      <x:c r="I64" s="136" t="str">
        <x:f t="shared" si="2"/>
        <x:v>SIN DATOS</x:v>
      </x:c>
      <x:c r="J64" s="136"/>
      <x:c r="K64" s="136"/>
    </x:row>
    <x:row r="65" ht="15.75" customHeight="1">
      <x:c r="A65" s="136">
        <x:v>2025.0</x:v>
      </x:c>
      <x:c r="B65" s="136"/>
      <x:c r="C65" s="136"/>
      <x:c r="D65" s="136"/>
      <x:c r="E65" s="136"/>
      <x:c r="F65" s="136"/>
      <x:c r="G65" s="136"/>
      <x:c r="H65" s="137" t="str">
        <x:f t="shared" si="1"/>
      </x:c>
      <x:c r="I65" s="136" t="str">
        <x:f t="shared" si="2"/>
        <x:v>SIN DATOS</x:v>
      </x:c>
      <x:c r="J65" s="136"/>
      <x:c r="K65" s="136"/>
    </x:row>
    <x:row r="66" ht="15.75" customHeight="1">
      <x:c r="A66" s="136">
        <x:v>2025.0</x:v>
      </x:c>
      <x:c r="B66" s="136"/>
      <x:c r="C66" s="136"/>
      <x:c r="D66" s="136"/>
      <x:c r="E66" s="136"/>
      <x:c r="F66" s="136"/>
      <x:c r="G66" s="136"/>
      <x:c r="H66" s="137" t="str">
        <x:f t="shared" si="1"/>
      </x:c>
      <x:c r="I66" s="136" t="str">
        <x:f t="shared" si="2"/>
        <x:v>SIN DATOS</x:v>
      </x:c>
      <x:c r="J66" s="136"/>
      <x:c r="K66" s="136"/>
    </x:row>
    <x:row r="67" ht="15.75" customHeight="1">
      <x:c r="A67" s="136">
        <x:v>2025.0</x:v>
      </x:c>
      <x:c r="B67" s="136"/>
      <x:c r="C67" s="136"/>
      <x:c r="D67" s="136"/>
      <x:c r="E67" s="136"/>
      <x:c r="F67" s="136"/>
      <x:c r="G67" s="136"/>
      <x:c r="H67" s="137" t="str">
        <x:f t="shared" si="1"/>
      </x:c>
      <x:c r="I67" s="136" t="str">
        <x:f t="shared" si="2"/>
        <x:v>SIN DATOS</x:v>
      </x:c>
      <x:c r="J67" s="136"/>
      <x:c r="K67" s="136"/>
    </x:row>
    <x:row r="68" ht="15.75" customHeight="1">
      <x:c r="A68" s="136">
        <x:v>2025.0</x:v>
      </x:c>
      <x:c r="B68" s="136"/>
      <x:c r="C68" s="136"/>
      <x:c r="D68" s="136"/>
      <x:c r="E68" s="136"/>
      <x:c r="F68" s="136"/>
      <x:c r="G68" s="136"/>
      <x:c r="H68" s="137" t="str">
        <x:f t="shared" si="1"/>
      </x:c>
      <x:c r="I68" s="136" t="str">
        <x:f t="shared" si="2"/>
        <x:v>SIN DATOS</x:v>
      </x:c>
      <x:c r="J68" s="136"/>
      <x:c r="K68" s="136"/>
    </x:row>
    <x:row r="69" ht="15.75" customHeight="1">
      <x:c r="A69" s="136">
        <x:v>2025.0</x:v>
      </x:c>
      <x:c r="B69" s="136"/>
      <x:c r="C69" s="136"/>
      <x:c r="D69" s="136"/>
      <x:c r="E69" s="136"/>
      <x:c r="F69" s="136"/>
      <x:c r="G69" s="136"/>
      <x:c r="H69" s="137" t="str">
        <x:f t="shared" si="1"/>
      </x:c>
      <x:c r="I69" s="136" t="str">
        <x:f t="shared" si="2"/>
        <x:v>SIN DATOS</x:v>
      </x:c>
      <x:c r="J69" s="136"/>
      <x:c r="K69" s="136"/>
    </x:row>
    <x:row r="70" ht="15.75" customHeight="1">
      <x:c r="A70" s="136">
        <x:v>2025.0</x:v>
      </x:c>
      <x:c r="B70" s="136"/>
      <x:c r="C70" s="136"/>
      <x:c r="D70" s="136"/>
      <x:c r="E70" s="136"/>
      <x:c r="F70" s="136"/>
      <x:c r="G70" s="136"/>
      <x:c r="H70" s="137" t="str">
        <x:f t="shared" si="1"/>
      </x:c>
      <x:c r="I70" s="136" t="str">
        <x:f t="shared" si="2"/>
        <x:v>SIN DATOS</x:v>
      </x:c>
      <x:c r="J70" s="136"/>
      <x:c r="K70" s="136"/>
    </x:row>
    <x:row r="71" ht="15.75" customHeight="1">
      <x:c r="A71" s="136">
        <x:v>2025.0</x:v>
      </x:c>
      <x:c r="B71" s="136"/>
      <x:c r="C71" s="136"/>
      <x:c r="D71" s="136"/>
      <x:c r="E71" s="136"/>
      <x:c r="F71" s="136"/>
      <x:c r="G71" s="136"/>
      <x:c r="H71" s="137" t="str">
        <x:f t="shared" si="1"/>
      </x:c>
      <x:c r="I71" s="136" t="str">
        <x:f t="shared" si="2"/>
        <x:v>SIN DATOS</x:v>
      </x:c>
      <x:c r="J71" s="136"/>
      <x:c r="K71" s="136"/>
    </x:row>
    <x:row r="72" ht="15.75" customHeight="1">
      <x:c r="A72" s="136">
        <x:v>2025.0</x:v>
      </x:c>
      <x:c r="B72" s="136"/>
      <x:c r="C72" s="136"/>
      <x:c r="D72" s="136"/>
      <x:c r="E72" s="136"/>
      <x:c r="F72" s="136"/>
      <x:c r="G72" s="136"/>
      <x:c r="H72" s="137" t="str">
        <x:f t="shared" si="1"/>
      </x:c>
      <x:c r="I72" s="136" t="str">
        <x:f t="shared" si="2"/>
        <x:v>SIN DATOS</x:v>
      </x:c>
      <x:c r="J72" s="136"/>
      <x:c r="K72" s="136"/>
    </x:row>
    <x:row r="73" ht="15.75" customHeight="1">
      <x:c r="A73" s="136">
        <x:v>2025.0</x:v>
      </x:c>
      <x:c r="B73" s="136"/>
      <x:c r="C73" s="136"/>
      <x:c r="D73" s="136"/>
      <x:c r="E73" s="136"/>
      <x:c r="F73" s="136"/>
      <x:c r="G73" s="136"/>
      <x:c r="H73" s="137" t="str">
        <x:f t="shared" si="1"/>
      </x:c>
      <x:c r="I73" s="136" t="str">
        <x:f t="shared" si="2"/>
        <x:v>SIN DATOS</x:v>
      </x:c>
      <x:c r="J73" s="136"/>
      <x:c r="K73" s="136"/>
    </x:row>
    <x:row r="74" ht="15.75" customHeight="1">
      <x:c r="A74" s="136">
        <x:v>2025.0</x:v>
      </x:c>
      <x:c r="B74" s="136"/>
      <x:c r="C74" s="136"/>
      <x:c r="D74" s="136"/>
      <x:c r="E74" s="136"/>
      <x:c r="F74" s="136"/>
      <x:c r="G74" s="136"/>
      <x:c r="H74" s="137" t="str">
        <x:f t="shared" si="1"/>
      </x:c>
      <x:c r="I74" s="136" t="str">
        <x:f t="shared" si="2"/>
        <x:v>SIN DATOS</x:v>
      </x:c>
      <x:c r="J74" s="136"/>
      <x:c r="K74" s="136"/>
    </x:row>
    <x:row r="75" ht="15.75" customHeight="1">
      <x:c r="A75" s="136">
        <x:v>2025.0</x:v>
      </x:c>
      <x:c r="B75" s="136"/>
      <x:c r="C75" s="136"/>
      <x:c r="D75" s="136"/>
      <x:c r="E75" s="136"/>
      <x:c r="F75" s="136"/>
      <x:c r="G75" s="136"/>
      <x:c r="H75" s="137" t="str">
        <x:f t="shared" si="1"/>
      </x:c>
      <x:c r="I75" s="136" t="str">
        <x:f t="shared" si="2"/>
        <x:v>SIN DATOS</x:v>
      </x:c>
      <x:c r="J75" s="136"/>
      <x:c r="K75" s="136"/>
    </x:row>
    <x:row r="76" ht="15.75" customHeight="1">
      <x:c r="A76" s="136">
        <x:v>2025.0</x:v>
      </x:c>
      <x:c r="B76" s="136"/>
      <x:c r="C76" s="136"/>
      <x:c r="D76" s="136"/>
      <x:c r="E76" s="136"/>
      <x:c r="F76" s="136"/>
      <x:c r="G76" s="136"/>
      <x:c r="H76" s="137" t="str">
        <x:f t="shared" si="1"/>
      </x:c>
      <x:c r="I76" s="136" t="str">
        <x:f t="shared" si="2"/>
        <x:v>SIN DATOS</x:v>
      </x:c>
      <x:c r="J76" s="136"/>
      <x:c r="K76" s="136"/>
    </x:row>
    <x:row r="77" ht="15.75" customHeight="1">
      <x:c r="A77" s="136">
        <x:v>2025.0</x:v>
      </x:c>
      <x:c r="B77" s="136"/>
      <x:c r="C77" s="136"/>
      <x:c r="D77" s="136"/>
      <x:c r="E77" s="136"/>
      <x:c r="F77" s="136"/>
      <x:c r="G77" s="136"/>
      <x:c r="H77" s="137" t="str">
        <x:f t="shared" si="1"/>
      </x:c>
      <x:c r="I77" s="136" t="str">
        <x:f t="shared" si="2"/>
        <x:v>SIN DATOS</x:v>
      </x:c>
      <x:c r="J77" s="136"/>
      <x:c r="K77" s="136"/>
    </x:row>
    <x:row r="78" ht="15.75" customHeight="1">
      <x:c r="A78" s="136">
        <x:v>2025.0</x:v>
      </x:c>
      <x:c r="B78" s="136"/>
      <x:c r="C78" s="136"/>
      <x:c r="D78" s="136"/>
      <x:c r="E78" s="136"/>
      <x:c r="F78" s="136"/>
      <x:c r="G78" s="136"/>
      <x:c r="H78" s="137" t="str">
        <x:f t="shared" si="1"/>
      </x:c>
      <x:c r="I78" s="136" t="str">
        <x:f t="shared" si="2"/>
        <x:v>SIN DATOS</x:v>
      </x:c>
      <x:c r="J78" s="136"/>
      <x:c r="K78" s="136"/>
    </x:row>
    <x:row r="79" ht="15.75" customHeight="1">
      <x:c r="A79" s="136">
        <x:v>2025.0</x:v>
      </x:c>
      <x:c r="B79" s="136"/>
      <x:c r="C79" s="136"/>
      <x:c r="D79" s="136"/>
      <x:c r="E79" s="136"/>
      <x:c r="F79" s="136"/>
      <x:c r="G79" s="136"/>
      <x:c r="H79" s="137" t="str">
        <x:f t="shared" si="1"/>
      </x:c>
      <x:c r="I79" s="136" t="str">
        <x:f t="shared" si="2"/>
        <x:v>SIN DATOS</x:v>
      </x:c>
      <x:c r="J79" s="136"/>
      <x:c r="K79" s="136"/>
    </x:row>
    <x:row r="80" ht="15.75" customHeight="1">
      <x:c r="A80" s="136">
        <x:v>2025.0</x:v>
      </x:c>
      <x:c r="B80" s="136"/>
      <x:c r="C80" s="136"/>
      <x:c r="D80" s="136"/>
      <x:c r="E80" s="136"/>
      <x:c r="F80" s="136"/>
      <x:c r="G80" s="136"/>
      <x:c r="H80" s="137" t="str">
        <x:f t="shared" si="1"/>
      </x:c>
      <x:c r="I80" s="136" t="str">
        <x:f t="shared" si="2"/>
        <x:v>SIN DATOS</x:v>
      </x:c>
      <x:c r="J80" s="136"/>
      <x:c r="K80" s="136"/>
    </x:row>
    <x:row r="81" ht="15.75" customHeight="1">
      <x:c r="A81" s="136">
        <x:v>2025.0</x:v>
      </x:c>
      <x:c r="B81" s="136"/>
      <x:c r="C81" s="136"/>
      <x:c r="D81" s="136"/>
      <x:c r="E81" s="136"/>
      <x:c r="F81" s="136"/>
      <x:c r="G81" s="136"/>
      <x:c r="H81" s="137" t="str">
        <x:f t="shared" si="1"/>
      </x:c>
      <x:c r="I81" s="136" t="str">
        <x:f t="shared" si="2"/>
        <x:v>SIN DATOS</x:v>
      </x:c>
      <x:c r="J81" s="136"/>
      <x:c r="K81" s="136"/>
    </x:row>
    <x:row r="82" ht="15.75" customHeight="1">
      <x:c r="A82" s="136">
        <x:v>2025.0</x:v>
      </x:c>
      <x:c r="B82" s="136"/>
      <x:c r="C82" s="136"/>
      <x:c r="D82" s="136"/>
      <x:c r="E82" s="136"/>
      <x:c r="F82" s="136"/>
      <x:c r="G82" s="136"/>
      <x:c r="H82" s="137" t="str">
        <x:f t="shared" si="1"/>
      </x:c>
      <x:c r="I82" s="136" t="str">
        <x:f t="shared" si="2"/>
        <x:v>SIN DATOS</x:v>
      </x:c>
      <x:c r="J82" s="136"/>
      <x:c r="K82" s="136"/>
    </x:row>
    <x:row r="83" ht="15.75" customHeight="1">
      <x:c r="A83" s="136">
        <x:v>2025.0</x:v>
      </x:c>
      <x:c r="B83" s="136"/>
      <x:c r="C83" s="136"/>
      <x:c r="D83" s="136"/>
      <x:c r="E83" s="136"/>
      <x:c r="F83" s="136"/>
      <x:c r="G83" s="136"/>
      <x:c r="H83" s="137" t="str">
        <x:f t="shared" si="1"/>
      </x:c>
      <x:c r="I83" s="136" t="str">
        <x:f t="shared" si="2"/>
        <x:v>SIN DATOS</x:v>
      </x:c>
      <x:c r="J83" s="136"/>
      <x:c r="K83" s="136"/>
    </x:row>
    <x:row r="84" ht="15.75" customHeight="1">
      <x:c r="A84" s="136">
        <x:v>2025.0</x:v>
      </x:c>
      <x:c r="B84" s="136"/>
      <x:c r="C84" s="136"/>
      <x:c r="D84" s="136"/>
      <x:c r="E84" s="136"/>
      <x:c r="F84" s="136"/>
      <x:c r="G84" s="136"/>
      <x:c r="H84" s="137" t="str">
        <x:f t="shared" si="1"/>
      </x:c>
      <x:c r="I84" s="136" t="str">
        <x:f t="shared" si="2"/>
        <x:v>SIN DATOS</x:v>
      </x:c>
      <x:c r="J84" s="136"/>
      <x:c r="K84" s="136"/>
    </x:row>
    <x:row r="85" ht="15.75" customHeight="1">
      <x:c r="A85" s="136">
        <x:v>2025.0</x:v>
      </x:c>
      <x:c r="B85" s="136"/>
      <x:c r="C85" s="136"/>
      <x:c r="D85" s="136"/>
      <x:c r="E85" s="136"/>
      <x:c r="F85" s="136"/>
      <x:c r="G85" s="136"/>
      <x:c r="H85" s="137" t="str">
        <x:f t="shared" si="1"/>
      </x:c>
      <x:c r="I85" s="136" t="str">
        <x:f t="shared" si="2"/>
        <x:v>SIN DATOS</x:v>
      </x:c>
      <x:c r="J85" s="136"/>
      <x:c r="K85" s="136"/>
    </x:row>
    <x:row r="86" ht="15.75" customHeight="1">
      <x:c r="A86" s="136">
        <x:v>2025.0</x:v>
      </x:c>
      <x:c r="B86" s="136"/>
      <x:c r="C86" s="136"/>
      <x:c r="D86" s="136"/>
      <x:c r="E86" s="136"/>
      <x:c r="F86" s="136"/>
      <x:c r="G86" s="136"/>
      <x:c r="H86" s="137" t="str">
        <x:f t="shared" si="1"/>
      </x:c>
      <x:c r="I86" s="136" t="str">
        <x:f t="shared" si="2"/>
        <x:v>SIN DATOS</x:v>
      </x:c>
      <x:c r="J86" s="136"/>
      <x:c r="K86" s="136"/>
    </x:row>
    <x:row r="87" ht="15.75" customHeight="1">
      <x:c r="A87" s="136">
        <x:v>2025.0</x:v>
      </x:c>
      <x:c r="B87" s="136"/>
      <x:c r="C87" s="136"/>
      <x:c r="D87" s="136"/>
      <x:c r="E87" s="136"/>
      <x:c r="F87" s="136"/>
      <x:c r="G87" s="136"/>
      <x:c r="H87" s="137" t="str">
        <x:f t="shared" si="1"/>
      </x:c>
      <x:c r="I87" s="136" t="str">
        <x:f t="shared" si="2"/>
        <x:v>SIN DATOS</x:v>
      </x:c>
      <x:c r="J87" s="136"/>
      <x:c r="K87" s="136"/>
    </x:row>
    <x:row r="88" ht="15.75" customHeight="1">
      <x:c r="A88" s="136">
        <x:v>2025.0</x:v>
      </x:c>
      <x:c r="B88" s="136"/>
      <x:c r="C88" s="136"/>
      <x:c r="D88" s="136"/>
      <x:c r="E88" s="136"/>
      <x:c r="F88" s="136"/>
      <x:c r="G88" s="136"/>
      <x:c r="H88" s="137" t="str">
        <x:f t="shared" si="1"/>
      </x:c>
      <x:c r="I88" s="136" t="str">
        <x:f t="shared" si="2"/>
        <x:v>SIN DATOS</x:v>
      </x:c>
      <x:c r="J88" s="136"/>
      <x:c r="K88" s="136"/>
    </x:row>
    <x:row r="89" ht="15.75" customHeight="1">
      <x:c r="A89" s="136">
        <x:v>2025.0</x:v>
      </x:c>
      <x:c r="B89" s="136"/>
      <x:c r="C89" s="136"/>
      <x:c r="D89" s="136"/>
      <x:c r="E89" s="136"/>
      <x:c r="F89" s="136"/>
      <x:c r="G89" s="136"/>
      <x:c r="H89" s="137" t="str">
        <x:f t="shared" si="1"/>
      </x:c>
      <x:c r="I89" s="136" t="str">
        <x:f t="shared" si="2"/>
        <x:v>SIN DATOS</x:v>
      </x:c>
      <x:c r="J89" s="136"/>
      <x:c r="K89" s="136"/>
    </x:row>
    <x:row r="90" ht="15.75" customHeight="1">
      <x:c r="A90" s="136">
        <x:v>2025.0</x:v>
      </x:c>
      <x:c r="B90" s="136"/>
      <x:c r="C90" s="136"/>
      <x:c r="D90" s="136"/>
      <x:c r="E90" s="136"/>
      <x:c r="F90" s="136"/>
      <x:c r="G90" s="136"/>
      <x:c r="H90" s="137" t="str">
        <x:f t="shared" si="1"/>
      </x:c>
      <x:c r="I90" s="136" t="str">
        <x:f t="shared" si="2"/>
        <x:v>SIN DATOS</x:v>
      </x:c>
      <x:c r="J90" s="136"/>
      <x:c r="K90" s="136"/>
    </x:row>
    <x:row r="91" ht="15.75" customHeight="1">
      <x:c r="A91" s="136">
        <x:v>2025.0</x:v>
      </x:c>
      <x:c r="B91" s="136"/>
      <x:c r="C91" s="136"/>
      <x:c r="D91" s="136"/>
      <x:c r="E91" s="136"/>
      <x:c r="F91" s="136"/>
      <x:c r="G91" s="136"/>
      <x:c r="H91" s="137" t="str">
        <x:f t="shared" si="1"/>
      </x:c>
      <x:c r="I91" s="136" t="str">
        <x:f t="shared" si="2"/>
        <x:v>SIN DATOS</x:v>
      </x:c>
      <x:c r="J91" s="136"/>
      <x:c r="K91" s="136"/>
    </x:row>
    <x:row r="92" ht="15.75" customHeight="1">
      <x:c r="A92" s="136">
        <x:v>2025.0</x:v>
      </x:c>
      <x:c r="B92" s="136"/>
      <x:c r="C92" s="136"/>
      <x:c r="D92" s="136"/>
      <x:c r="E92" s="136"/>
      <x:c r="F92" s="136"/>
      <x:c r="G92" s="136"/>
      <x:c r="H92" s="137" t="str">
        <x:f t="shared" si="1"/>
      </x:c>
      <x:c r="I92" s="136" t="str">
        <x:f t="shared" si="2"/>
        <x:v>SIN DATOS</x:v>
      </x:c>
      <x:c r="J92" s="136"/>
      <x:c r="K92" s="136"/>
    </x:row>
    <x:row r="93" ht="15.75" customHeight="1">
      <x:c r="A93" s="136">
        <x:v>2025.0</x:v>
      </x:c>
      <x:c r="B93" s="136"/>
      <x:c r="C93" s="136"/>
      <x:c r="D93" s="136"/>
      <x:c r="E93" s="136"/>
      <x:c r="F93" s="136"/>
      <x:c r="G93" s="136"/>
      <x:c r="H93" s="137" t="str">
        <x:f t="shared" si="1"/>
      </x:c>
      <x:c r="I93" s="136" t="str">
        <x:f t="shared" si="2"/>
        <x:v>SIN DATOS</x:v>
      </x:c>
      <x:c r="J93" s="136"/>
      <x:c r="K93" s="136"/>
    </x:row>
    <x:row r="94" ht="15.75" customHeight="1">
      <x:c r="A94" s="136">
        <x:v>2025.0</x:v>
      </x:c>
      <x:c r="B94" s="136"/>
      <x:c r="C94" s="136"/>
      <x:c r="D94" s="136"/>
      <x:c r="E94" s="136"/>
      <x:c r="F94" s="136"/>
      <x:c r="G94" s="136"/>
      <x:c r="H94" s="137" t="str">
        <x:f t="shared" si="1"/>
      </x:c>
      <x:c r="I94" s="136" t="str">
        <x:f t="shared" si="2"/>
        <x:v>SIN DATOS</x:v>
      </x:c>
      <x:c r="J94" s="136"/>
      <x:c r="K94" s="136"/>
    </x:row>
    <x:row r="95" ht="15.75" customHeight="1">
      <x:c r="A95" s="136">
        <x:v>2025.0</x:v>
      </x:c>
      <x:c r="B95" s="136"/>
      <x:c r="C95" s="136"/>
      <x:c r="D95" s="136"/>
      <x:c r="E95" s="136"/>
      <x:c r="F95" s="136"/>
      <x:c r="G95" s="136"/>
      <x:c r="H95" s="137" t="str">
        <x:f t="shared" si="1"/>
      </x:c>
      <x:c r="I95" s="136" t="str">
        <x:f t="shared" si="2"/>
        <x:v>SIN DATOS</x:v>
      </x:c>
      <x:c r="J95" s="136"/>
      <x:c r="K95" s="136"/>
    </x:row>
    <x:row r="96" ht="15.75" customHeight="1">
      <x:c r="A96" s="136">
        <x:v>2025.0</x:v>
      </x:c>
      <x:c r="B96" s="136"/>
      <x:c r="C96" s="136"/>
      <x:c r="D96" s="136"/>
      <x:c r="E96" s="136"/>
      <x:c r="F96" s="136"/>
      <x:c r="G96" s="136"/>
      <x:c r="H96" s="137" t="str">
        <x:f t="shared" si="1"/>
      </x:c>
      <x:c r="I96" s="136" t="str">
        <x:f t="shared" si="2"/>
        <x:v>SIN DATOS</x:v>
      </x:c>
      <x:c r="J96" s="136"/>
      <x:c r="K96" s="136"/>
    </x:row>
    <x:row r="97" ht="15.75" customHeight="1">
      <x:c r="A97" s="136">
        <x:v>2025.0</x:v>
      </x:c>
      <x:c r="B97" s="136"/>
      <x:c r="C97" s="136"/>
      <x:c r="D97" s="136"/>
      <x:c r="E97" s="136"/>
      <x:c r="F97" s="136"/>
      <x:c r="G97" s="136"/>
      <x:c r="H97" s="137" t="str">
        <x:f t="shared" si="1"/>
      </x:c>
      <x:c r="I97" s="136" t="str">
        <x:f t="shared" si="2"/>
        <x:v>SIN DATOS</x:v>
      </x:c>
      <x:c r="J97" s="136"/>
      <x:c r="K97" s="136"/>
    </x:row>
    <x:row r="98" ht="15.75" customHeight="1">
      <x:c r="A98" s="136">
        <x:v>2025.0</x:v>
      </x:c>
      <x:c r="B98" s="136"/>
      <x:c r="C98" s="136"/>
      <x:c r="D98" s="136"/>
      <x:c r="E98" s="136"/>
      <x:c r="F98" s="136"/>
      <x:c r="G98" s="136"/>
      <x:c r="H98" s="137" t="str">
        <x:f t="shared" si="1"/>
      </x:c>
      <x:c r="I98" s="136" t="str">
        <x:f t="shared" si="2"/>
        <x:v>SIN DATOS</x:v>
      </x:c>
      <x:c r="J98" s="136"/>
      <x:c r="K98" s="136"/>
    </x:row>
    <x:row r="99" ht="15.75" customHeight="1">
      <x:c r="A99" s="136">
        <x:v>2025.0</x:v>
      </x:c>
      <x:c r="B99" s="136"/>
      <x:c r="C99" s="136"/>
      <x:c r="D99" s="136"/>
      <x:c r="E99" s="136"/>
      <x:c r="F99" s="136"/>
      <x:c r="G99" s="136"/>
      <x:c r="H99" s="137" t="str">
        <x:f t="shared" si="1"/>
      </x:c>
      <x:c r="I99" s="136" t="str">
        <x:f t="shared" si="2"/>
        <x:v>SIN DATOS</x:v>
      </x:c>
      <x:c r="J99" s="136"/>
      <x:c r="K99" s="136"/>
    </x:row>
    <x:row r="100" ht="15.75" customHeight="1">
      <x:c r="A100" s="136">
        <x:v>2025.0</x:v>
      </x:c>
      <x:c r="B100" s="136"/>
      <x:c r="C100" s="136"/>
      <x:c r="D100" s="136"/>
      <x:c r="E100" s="136"/>
      <x:c r="F100" s="136"/>
      <x:c r="G100" s="136"/>
      <x:c r="H100" s="137" t="str">
        <x:f t="shared" si="1"/>
      </x:c>
      <x:c r="I100" s="136" t="str">
        <x:f t="shared" si="2"/>
        <x:v>SIN DATOS</x:v>
      </x:c>
      <x:c r="J100" s="136"/>
      <x:c r="K100" s="136"/>
    </x:row>
    <x:row r="101" ht="15.75" customHeight="1">
      <x:c r="A101" s="136">
        <x:v>2025.0</x:v>
      </x:c>
      <x:c r="B101" s="136"/>
      <x:c r="C101" s="136"/>
      <x:c r="D101" s="136"/>
      <x:c r="E101" s="136"/>
      <x:c r="F101" s="136"/>
      <x:c r="G101" s="136"/>
      <x:c r="H101" s="137" t="str">
        <x:f t="shared" si="1"/>
      </x:c>
      <x:c r="I101" s="136" t="str">
        <x:f t="shared" si="2"/>
        <x:v>SIN DATOS</x:v>
      </x:c>
      <x:c r="J101" s="136"/>
      <x:c r="K101" s="136"/>
    </x:row>
    <x:row r="102" ht="15.75" customHeight="1">
      <x:c r="A102" s="136">
        <x:v>2025.0</x:v>
      </x:c>
      <x:c r="B102" s="136"/>
      <x:c r="C102" s="136"/>
      <x:c r="D102" s="136"/>
      <x:c r="E102" s="136"/>
      <x:c r="F102" s="136"/>
      <x:c r="G102" s="136"/>
      <x:c r="H102" s="137" t="str">
        <x:f t="shared" si="1"/>
      </x:c>
      <x:c r="I102" s="136" t="str">
        <x:f t="shared" si="2"/>
        <x:v>SIN DATOS</x:v>
      </x:c>
      <x:c r="J102" s="136"/>
      <x:c r="K102" s="136"/>
    </x:row>
    <x:row r="103" ht="15.75" customHeight="1">
      <x:c r="A103" s="136">
        <x:v>2025.0</x:v>
      </x:c>
      <x:c r="B103" s="136"/>
      <x:c r="C103" s="136"/>
      <x:c r="D103" s="136"/>
      <x:c r="E103" s="136"/>
      <x:c r="F103" s="136"/>
      <x:c r="G103" s="136"/>
      <x:c r="H103" s="137" t="str">
        <x:f t="shared" si="1"/>
      </x:c>
      <x:c r="I103" s="136" t="str">
        <x:f t="shared" si="2"/>
        <x:v>SIN DATOS</x:v>
      </x:c>
      <x:c r="J103" s="136"/>
      <x:c r="K103" s="136"/>
    </x:row>
    <x:row r="104" ht="15.75" customHeight="1">
      <x:c r="A104" s="136">
        <x:v>2025.0</x:v>
      </x:c>
      <x:c r="B104" s="136"/>
      <x:c r="C104" s="136"/>
      <x:c r="D104" s="136"/>
      <x:c r="E104" s="136"/>
      <x:c r="F104" s="136"/>
      <x:c r="G104" s="136"/>
      <x:c r="H104" s="137" t="str">
        <x:f t="shared" si="1"/>
      </x:c>
      <x:c r="I104" s="136" t="str">
        <x:f t="shared" si="2"/>
        <x:v>SIN DATOS</x:v>
      </x:c>
      <x:c r="J104" s="136"/>
      <x:c r="K104" s="136"/>
    </x:row>
    <x:row r="105" ht="15.75" customHeight="1">
      <x:c r="A105" s="136">
        <x:v>2025.0</x:v>
      </x:c>
      <x:c r="B105" s="136"/>
      <x:c r="C105" s="136"/>
      <x:c r="D105" s="136"/>
      <x:c r="E105" s="136"/>
      <x:c r="F105" s="136"/>
      <x:c r="G105" s="136"/>
      <x:c r="H105" s="137" t="str">
        <x:f t="shared" si="1"/>
      </x:c>
      <x:c r="I105" s="136" t="str">
        <x:f t="shared" si="2"/>
        <x:v>SIN DATOS</x:v>
      </x:c>
      <x:c r="J105" s="136"/>
      <x:c r="K105" s="136"/>
    </x:row>
    <x:row r="106" ht="15.75" customHeight="1">
      <x:c r="A106" s="136">
        <x:v>2025.0</x:v>
      </x:c>
      <x:c r="B106" s="136"/>
      <x:c r="C106" s="136"/>
      <x:c r="D106" s="136"/>
      <x:c r="E106" s="136"/>
      <x:c r="F106" s="136"/>
      <x:c r="G106" s="136"/>
      <x:c r="H106" s="137" t="str">
        <x:f t="shared" si="1"/>
      </x:c>
      <x:c r="I106" s="136" t="str">
        <x:f t="shared" si="2"/>
        <x:v>SIN DATOS</x:v>
      </x:c>
      <x:c r="J106" s="136"/>
      <x:c r="K106" s="136"/>
    </x:row>
    <x:row r="107" ht="15.75" customHeight="1">
      <x:c r="A107" s="136">
        <x:v>2025.0</x:v>
      </x:c>
      <x:c r="B107" s="136"/>
      <x:c r="C107" s="136"/>
      <x:c r="D107" s="136"/>
      <x:c r="E107" s="136"/>
      <x:c r="F107" s="136"/>
      <x:c r="G107" s="136"/>
      <x:c r="H107" s="137" t="str">
        <x:f t="shared" si="1"/>
      </x:c>
      <x:c r="I107" s="136" t="str">
        <x:f t="shared" si="2"/>
        <x:v>SIN DATOS</x:v>
      </x:c>
      <x:c r="J107" s="136"/>
      <x:c r="K107" s="136"/>
    </x:row>
    <x:row r="108" ht="15.75" customHeight="1">
      <x:c r="A108" s="136">
        <x:v>2025.0</x:v>
      </x:c>
      <x:c r="B108" s="136"/>
      <x:c r="C108" s="136"/>
      <x:c r="D108" s="136"/>
      <x:c r="E108" s="136"/>
      <x:c r="F108" s="136"/>
      <x:c r="G108" s="136"/>
      <x:c r="H108" s="137" t="str">
        <x:f t="shared" si="1"/>
      </x:c>
      <x:c r="I108" s="136" t="str">
        <x:f t="shared" si="2"/>
        <x:v>SIN DATOS</x:v>
      </x:c>
      <x:c r="J108" s="136"/>
      <x:c r="K108" s="136"/>
    </x:row>
    <x:row r="109" ht="15.75" customHeight="1">
      <x:c r="A109" s="136">
        <x:v>2025.0</x:v>
      </x:c>
      <x:c r="B109" s="136"/>
      <x:c r="C109" s="136"/>
      <x:c r="D109" s="136"/>
      <x:c r="E109" s="136"/>
      <x:c r="F109" s="136"/>
      <x:c r="G109" s="136"/>
      <x:c r="H109" s="137" t="str">
        <x:f t="shared" si="1"/>
      </x:c>
      <x:c r="I109" s="136" t="str">
        <x:f t="shared" si="2"/>
        <x:v>SIN DATOS</x:v>
      </x:c>
      <x:c r="J109" s="136"/>
      <x:c r="K109" s="136"/>
    </x:row>
    <x:row r="110" ht="15.75" customHeight="1">
      <x:c r="A110" s="136">
        <x:v>2025.0</x:v>
      </x:c>
      <x:c r="B110" s="136"/>
      <x:c r="C110" s="136"/>
      <x:c r="D110" s="136"/>
      <x:c r="E110" s="136"/>
      <x:c r="F110" s="136"/>
      <x:c r="G110" s="136"/>
      <x:c r="H110" s="137" t="str">
        <x:f t="shared" si="1"/>
      </x:c>
      <x:c r="I110" s="136" t="str">
        <x:f t="shared" si="2"/>
        <x:v>SIN DATOS</x:v>
      </x:c>
      <x:c r="J110" s="136"/>
      <x:c r="K110" s="136"/>
    </x:row>
    <x:row r="111" ht="15.75" customHeight="1">
      <x:c r="A111" s="136">
        <x:v>2025.0</x:v>
      </x:c>
      <x:c r="B111" s="136"/>
      <x:c r="C111" s="136"/>
      <x:c r="D111" s="136"/>
      <x:c r="E111" s="136"/>
      <x:c r="F111" s="136"/>
      <x:c r="G111" s="136"/>
      <x:c r="H111" s="137" t="str">
        <x:f t="shared" si="1"/>
      </x:c>
      <x:c r="I111" s="136" t="str">
        <x:f t="shared" si="2"/>
        <x:v>SIN DATOS</x:v>
      </x:c>
      <x:c r="J111" s="136"/>
      <x:c r="K111" s="136"/>
    </x:row>
    <x:row r="112" ht="15.75" customHeight="1">
      <x:c r="A112" s="136">
        <x:v>2025.0</x:v>
      </x:c>
      <x:c r="B112" s="136"/>
      <x:c r="C112" s="136"/>
      <x:c r="D112" s="136"/>
      <x:c r="E112" s="136"/>
      <x:c r="F112" s="136"/>
      <x:c r="G112" s="136"/>
      <x:c r="H112" s="137" t="str">
        <x:f t="shared" si="1"/>
      </x:c>
      <x:c r="I112" s="136" t="str">
        <x:f t="shared" si="2"/>
        <x:v>SIN DATOS</x:v>
      </x:c>
      <x:c r="J112" s="136"/>
      <x:c r="K112" s="136"/>
    </x:row>
    <x:row r="113" ht="15.75" customHeight="1">
      <x:c r="A113" s="136">
        <x:v>2025.0</x:v>
      </x:c>
      <x:c r="B113" s="136"/>
      <x:c r="C113" s="136"/>
      <x:c r="D113" s="136"/>
      <x:c r="E113" s="136"/>
      <x:c r="F113" s="136"/>
      <x:c r="G113" s="136"/>
      <x:c r="H113" s="137" t="str">
        <x:f t="shared" si="1"/>
      </x:c>
      <x:c r="I113" s="136" t="str">
        <x:f t="shared" si="2"/>
        <x:v>SIN DATOS</x:v>
      </x:c>
      <x:c r="J113" s="136"/>
      <x:c r="K113" s="136"/>
    </x:row>
    <x:row r="114" ht="15.75" customHeight="1">
      <x:c r="A114" s="136">
        <x:v>2025.0</x:v>
      </x:c>
      <x:c r="B114" s="136"/>
      <x:c r="C114" s="136"/>
      <x:c r="D114" s="136"/>
      <x:c r="E114" s="136"/>
      <x:c r="F114" s="136"/>
      <x:c r="G114" s="136"/>
      <x:c r="H114" s="137" t="str">
        <x:f t="shared" si="1"/>
      </x:c>
      <x:c r="I114" s="136" t="str">
        <x:f t="shared" si="2"/>
        <x:v>SIN DATOS</x:v>
      </x:c>
      <x:c r="J114" s="136"/>
      <x:c r="K114" s="136"/>
    </x:row>
    <x:row r="115" ht="15.75" customHeight="1">
      <x:c r="A115" s="136">
        <x:v>2025.0</x:v>
      </x:c>
      <x:c r="B115" s="136"/>
      <x:c r="C115" s="136"/>
      <x:c r="D115" s="136"/>
      <x:c r="E115" s="136"/>
      <x:c r="F115" s="136"/>
      <x:c r="G115" s="136"/>
      <x:c r="H115" s="137" t="str">
        <x:f t="shared" si="1"/>
      </x:c>
      <x:c r="I115" s="136" t="str">
        <x:f t="shared" si="2"/>
        <x:v>SIN DATOS</x:v>
      </x:c>
      <x:c r="J115" s="136"/>
      <x:c r="K115" s="136"/>
    </x:row>
    <x:row r="116" ht="15.75" customHeight="1">
      <x:c r="A116" s="136">
        <x:v>2025.0</x:v>
      </x:c>
      <x:c r="B116" s="136"/>
      <x:c r="C116" s="136"/>
      <x:c r="D116" s="136"/>
      <x:c r="E116" s="136"/>
      <x:c r="F116" s="136"/>
      <x:c r="G116" s="136"/>
      <x:c r="H116" s="137" t="str">
        <x:f t="shared" si="1"/>
      </x:c>
      <x:c r="I116" s="136" t="str">
        <x:f t="shared" si="2"/>
        <x:v>SIN DATOS</x:v>
      </x:c>
      <x:c r="J116" s="136"/>
      <x:c r="K116" s="136"/>
    </x:row>
    <x:row r="117" ht="15.75" customHeight="1">
      <x:c r="A117" s="136">
        <x:v>2025.0</x:v>
      </x:c>
      <x:c r="B117" s="136"/>
      <x:c r="C117" s="136"/>
      <x:c r="D117" s="136"/>
      <x:c r="E117" s="136"/>
      <x:c r="F117" s="136"/>
      <x:c r="G117" s="136"/>
      <x:c r="H117" s="137" t="str">
        <x:f t="shared" si="1"/>
      </x:c>
      <x:c r="I117" s="136" t="str">
        <x:f t="shared" si="2"/>
        <x:v>SIN DATOS</x:v>
      </x:c>
      <x:c r="J117" s="136"/>
      <x:c r="K117" s="136"/>
    </x:row>
    <x:row r="118" ht="15.75" customHeight="1">
      <x:c r="A118" s="136">
        <x:v>2025.0</x:v>
      </x:c>
      <x:c r="B118" s="136"/>
      <x:c r="C118" s="136"/>
      <x:c r="D118" s="136"/>
      <x:c r="E118" s="136"/>
      <x:c r="F118" s="136"/>
      <x:c r="G118" s="136"/>
      <x:c r="H118" s="137" t="str">
        <x:f t="shared" si="1"/>
      </x:c>
      <x:c r="I118" s="136" t="str">
        <x:f t="shared" si="2"/>
        <x:v>SIN DATOS</x:v>
      </x:c>
      <x:c r="J118" s="136"/>
      <x:c r="K118" s="136"/>
    </x:row>
    <x:row r="119" ht="15.75" customHeight="1">
      <x:c r="A119" s="136">
        <x:v>2025.0</x:v>
      </x:c>
      <x:c r="B119" s="136"/>
      <x:c r="C119" s="136"/>
      <x:c r="D119" s="136"/>
      <x:c r="E119" s="136"/>
      <x:c r="F119" s="136"/>
      <x:c r="G119" s="136"/>
      <x:c r="H119" s="137" t="str">
        <x:f t="shared" si="1"/>
      </x:c>
      <x:c r="I119" s="136" t="str">
        <x:f t="shared" si="2"/>
        <x:v>SIN DATOS</x:v>
      </x:c>
      <x:c r="J119" s="136"/>
      <x:c r="K119" s="136"/>
    </x:row>
    <x:row r="120" ht="15.75" customHeight="1">
      <x:c r="A120" s="136">
        <x:v>2025.0</x:v>
      </x:c>
      <x:c r="B120" s="136"/>
      <x:c r="C120" s="136"/>
      <x:c r="D120" s="136"/>
      <x:c r="E120" s="136"/>
      <x:c r="F120" s="136"/>
      <x:c r="G120" s="136"/>
      <x:c r="H120" s="137" t="str">
        <x:f t="shared" si="1"/>
      </x:c>
      <x:c r="I120" s="136" t="str">
        <x:f t="shared" si="2"/>
        <x:v>SIN DATOS</x:v>
      </x:c>
      <x:c r="J120" s="136"/>
      <x:c r="K120" s="136"/>
    </x:row>
    <x:row r="121" ht="15.75" customHeight="1">
      <x:c r="A121" s="136">
        <x:v>2025.0</x:v>
      </x:c>
      <x:c r="B121" s="136"/>
      <x:c r="C121" s="136"/>
      <x:c r="D121" s="136"/>
      <x:c r="E121" s="136"/>
      <x:c r="F121" s="136"/>
      <x:c r="G121" s="136"/>
      <x:c r="H121" s="137" t="str">
        <x:f t="shared" si="1"/>
      </x:c>
      <x:c r="I121" s="136" t="str">
        <x:f t="shared" si="2"/>
        <x:v>SIN DATOS</x:v>
      </x:c>
      <x:c r="J121" s="136"/>
      <x:c r="K121" s="136"/>
    </x:row>
  </x:sheetData>
  <x:dataValidations count="4">
    <x:dataValidation type="list" allowBlank="1" sqref="C2:C121">
      <x:formula1>"Financiera,Clientes,Procesos internos,Aprendizaje y crecimiento"</x:formula1>
    </x:dataValidation>
    <x:dataValidation type="decimal" allowBlank="1" sqref="A2:A121">
      <x:formula1>2020.0</x:formula1>
      <x:formula2>2100.0</x:formula2>
    </x:dataValidation>
    <x:dataValidation type="list" allowBlank="1" sqref="B2:B121">
      <x:formula1>"Enero,Febrero,Marzo,Abril,Mayo,Junio,Julio,Agosto,Septiembre,Octubre,Noviembre,Diciembre"</x:formula1>
    </x:dataValidation>
    <x:dataValidation type="list" allowBlank="1" sqref="G2:G121">
      <x:formula1>"Mayor es mejor,Menor es mejor"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ColWidth="14.430000305175781" defaultRowHeight="15"/>
  <x:cols>
    <x:col min="1" max="1" width="12" customWidth="1"/>
    <x:col min="2" max="2" width="24" customWidth="1"/>
    <x:col min="3" max="3" width="36" customWidth="1"/>
    <x:col min="4" max="4" width="22" customWidth="1"/>
    <x:col min="5" max="5" width="34" customWidth="1"/>
    <x:col min="6" max="6" width="38" customWidth="1"/>
    <x:col min="7" max="7" width="22" customWidth="1"/>
    <x:col min="8" max="9" width="16" customWidth="1"/>
    <x:col min="10" max="10" width="18" customWidth="1"/>
    <x:col min="11" max="11" width="20" customWidth="1"/>
    <x:col min="12" max="12" width="34" customWidth="1"/>
    <x:col min="13" max="13" width="38" customWidth="1"/>
  </x:cols>
  <x:sheetData>
    <x:row r="1" ht="39.75" customHeight="1">
      <x:c r="A1" s="111" t="s">
        <x:v>43</x:v>
      </x:c>
      <x:c r="B1" s="111" t="s">
        <x:v>34</x:v>
      </x:c>
      <x:c r="C1" s="111" t="s">
        <x:v>44</x:v>
      </x:c>
      <x:c r="D1" s="111" t="s">
        <x:v>45</x:v>
      </x:c>
      <x:c r="E1" s="111" t="s">
        <x:v>46</x:v>
      </x:c>
      <x:c r="F1" s="111" t="s">
        <x:v>47</x:v>
      </x:c>
      <x:c r="G1" s="111" t="s">
        <x:v>41</x:v>
      </x:c>
      <x:c r="H1" s="111" t="s">
        <x:v>48</x:v>
      </x:c>
      <x:c r="I1" s="111" t="s">
        <x:v>49</x:v>
      </x:c>
      <x:c r="J1" s="111" t="str">
        <x:v>Presupuesto (US$)</x:v>
      </x:c>
      <x:c r="K1" s="111" t="s">
        <x:v>50</x:v>
      </x:c>
      <x:c r="L1" s="111" t="s">
        <x:v>51</x:v>
      </x:c>
      <x:c r="M1" s="111" t="str">
        <x:v>Evidencia / comentario (precisar si es dato público o hipótesis)</x:v>
      </x:c>
    </x:row>
    <x:row r="2" ht="48" customHeight="1">
      <x:c r="A2" s="136" t="str">
        <x:v>PA-001</x:v>
      </x:c>
      <x:c r="B2" s="136" t="str">
        <x:v>Procesos internos</x:v>
      </x:c>
      <x:c r="C2" s="136" t="str">
        <x:v>Llegadas puntuales</x:v>
      </x:c>
      <x:c r="D2" s="136" t="str">
        <x:v>Riesgo moderado</x:v>
      </x:c>
      <x:c r="E2" s="182" t="str">
        <x:v>Hipótesis académica: turnarounds y buffers de horario no absorben bien la variabilidad de la red.</x:v>
      </x:c>
      <x:c r="F2" s="182" t="str">
        <x:v>Revisar puntualidad por estación y franja; pilotear un plan de recuperación de rotación y tripulación.</x:v>
      </x:c>
      <x:c r="G2" s="182" t="str">
        <x:v>Dirección de Operaciones</x:v>
      </x:c>
      <x:c r="H2" s="180" t="d">
        <x:v>2026-11-01T00:00:00.000Z</x:v>
      </x:c>
      <x:c r="I2" s="180" t="d">
        <x:v>2027-01-31T00:00:00.000Z</x:v>
      </x:c>
      <x:c r="J2" s="181" t="n">
        <x:v>250000</x:v>
      </x:c>
      <x:c r="K2" s="182" t="str">
        <x:v>Propuesto</x:v>
      </x:c>
      <x:c r="L2" s="182" t="str">
        <x:v>Elevar puntualidad del 77.1% observado en octubre 2025 hacia una meta de trabajo de 82%.</x:v>
      </x:c>
      <x:c r="M2" s="182" t="str">
        <x:v>Caso hipotético; dato base DOT, presupuesto y causa inventados.</x:v>
      </x:c>
    </x:row>
    <x:row r="3" ht="48" customHeight="1">
      <x:c r="A3" s="136" t="str">
        <x:v>PA-002</x:v>
      </x:c>
      <x:c r="B3" s="136" t="str">
        <x:v>Procesos internos</x:v>
      </x:c>
      <x:c r="C3" s="136" t="str">
        <x:v>Vuelos cancelados</x:v>
      </x:c>
      <x:c r="D3" s="136" t="str">
        <x:v>Riesgo alto</x:v>
      </x:c>
      <x:c r="E3" s="182" t="str">
        <x:v>Hipótesis académica: baja holgura de aeronaves o tripulaciones en eventos de disrupción.</x:v>
      </x:c>
      <x:c r="F3" s="182" t="str">
        <x:v>Definir reserva operacional por base y simulacros de recuperación de itinerarios.</x:v>
      </x:c>
      <x:c r="G3" s="182" t="str">
        <x:v>Control Operacional</x:v>
      </x:c>
      <x:c r="H3" s="180" t="d">
        <x:v>2026-11-01T00:00:00.000Z</x:v>
      </x:c>
      <x:c r="I3" s="180" t="d">
        <x:v>2027-01-31T00:00:00.000Z</x:v>
      </x:c>
      <x:c r="J3" s="181" t="n">
        <x:v>180000</x:v>
      </x:c>
      <x:c r="K3" s="182" t="str">
        <x:v>Propuesto</x:v>
      </x:c>
      <x:c r="L3" s="182" t="str">
        <x:v>Reducir cancelaciones desde el 0.3% de octubre 2025 a una meta ilustrativa de 0.2%.</x:v>
      </x:c>
      <x:c r="M3" s="182" t="str">
        <x:v>Caso hipotético; DOT informa el resultado, la causa y el plan son inventados.</x:v>
      </x:c>
    </x:row>
    <x:row r="4" ht="48" customHeight="1">
      <x:c r="A4" s="136" t="str">
        <x:v>PA-003</x:v>
      </x:c>
      <x:c r="B4" s="136" t="str">
        <x:v>Clientes</x:v>
      </x:c>
      <x:c r="C4" s="136" t="str">
        <x:v>Equipaje mal manejado por cada 100 piezas</x:v>
      </x:c>
      <x:c r="D4" s="136" t="str">
        <x:v>Riesgo moderado</x:v>
      </x:c>
      <x:c r="E4" s="182" t="str">
        <x:v>Hipótesis académica: puntos de transferencia manual concentran extravíos y demoras.</x:v>
      </x:c>
      <x:c r="F4" s="182" t="str">
        <x:v>Auditar estaciones de mayor volumen y reforzar escaneo en cada transferencia.</x:v>
      </x:c>
      <x:c r="G4" s="182" t="str">
        <x:v>Operaciones de Equipaje</x:v>
      </x:c>
      <x:c r="H4" s="180" t="d">
        <x:v>2026-11-01T00:00:00.000Z</x:v>
      </x:c>
      <x:c r="I4" s="180" t="d">
        <x:v>2027-02-28T00:00:00.000Z</x:v>
      </x:c>
      <x:c r="J4" s="181" t="n">
        <x:v>120000</x:v>
      </x:c>
      <x:c r="K4" s="182" t="str">
        <x:v>Propuesto</x:v>
      </x:c>
      <x:c r="L4" s="182" t="str">
        <x:v>Reducir la tasa de 0.30 a 0.28 por cada 100 piezas; meta de trabajo.</x:v>
      </x:c>
      <x:c r="M4" s="182" t="str">
        <x:v>Caso hipotético; dato base DOT de octubre 2025, causa y presupuesto inventados.</x:v>
      </x:c>
    </x:row>
    <x:row r="5" ht="48" customHeight="1">
      <x:c r="A5" s="136" t="str">
        <x:v>PA-004</x:v>
      </x:c>
      <x:c r="B5" s="136" t="str">
        <x:v>Financiera</x:v>
      </x:c>
      <x:c r="C5" s="136" t="str">
        <x:v>Gastos operativos por ASM</x:v>
      </x:c>
      <x:c r="D5" s="136" t="str">
        <x:v>Riesgo moderado</x:v>
      </x:c>
      <x:c r="E5" s="182" t="str">
        <x:v>Dato público: gasto unitario sin combustible aumentó 3.2% en 2025. Hipótesis: salarios y costos de operación presionan el costo unitario.</x:v>
      </x:c>
      <x:c r="F5" s="182" t="str">
        <x:v>Revisar productividad y turnarounds por estación; separar combustible, salarios y costos controlables.</x:v>
      </x:c>
      <x:c r="G5" s="182" t="str">
        <x:v>Finanzas y Operaciones</x:v>
      </x:c>
      <x:c r="H5" s="180" t="d">
        <x:v>2026-11-01T00:00:00.000Z</x:v>
      </x:c>
      <x:c r="I5" s="180" t="d">
        <x:v>2027-03-31T00:00:00.000Z</x:v>
      </x:c>
      <x:c r="J5" s="181" t="n">
        <x:v>300000</x:v>
      </x:c>
      <x:c r="K5" s="182" t="str">
        <x:v>Propuesto</x:v>
      </x:c>
      <x:c r="L5" s="182" t="str">
        <x:v>Acercar el costo operativo de 15.35 centavos/ASM a una meta ilustrativa de 15.00.</x:v>
      </x:c>
      <x:c r="M5" s="182" t="str">
        <x:v>Resultado 2025 público; causa detallada, acción y presupuesto propuestos.</x:v>
      </x:c>
    </x:row>
    <x:row r="6" ht="48" customHeight="1">
      <x:c r="A6" s="136" t="str">
        <x:v>PA-005</x:v>
      </x:c>
      <x:c r="B6" s="136" t="str">
        <x:v>Aprendizaje y crecimiento</x:v>
      </x:c>
      <x:c r="C6" s="136" t="str">
        <x:v>Personal capacitado en cambios de producto</x:v>
      </x:c>
      <x:c r="D6" s="136" t="str">
        <x:v>Riesgo moderado</x:v>
      </x:c>
      <x:c r="E6" s="182" t="str">
        <x:v>Hipótesis académica: adopción de nuevos productos requiere refuerzo práctico para equipos de primera línea.</x:v>
      </x:c>
      <x:c r="F6" s="182" t="str">
        <x:v>Implementar módulos breves y validar conocimiento en mostrador, cabina y soporte.</x:v>
      </x:c>
      <x:c r="G6" s="182" t="str">
        <x:v>Recursos Humanos y Servicio</x:v>
      </x:c>
      <x:c r="H6" s="180" t="d">
        <x:v>2026-11-01T00:00:00.000Z</x:v>
      </x:c>
      <x:c r="I6" s="180" t="d">
        <x:v>2027-02-28T00:00:00.000Z</x:v>
      </x:c>
      <x:c r="J6" s="181" t="n">
        <x:v>95000</x:v>
      </x:c>
      <x:c r="K6" s="182" t="str">
        <x:v>Propuesto</x:v>
      </x:c>
      <x:c r="L6" s="182" t="str">
        <x:v>Elevar el porcentaje ficticio de capacitación de 78% a una meta ilustrativa de 95%.</x:v>
      </x:c>
      <x:c r="M6" s="182" t="str">
        <x:v>Datos de capacitación ficticios; causa, acción y presupuesto hipotéticos.</x:v>
      </x:c>
    </x:row>
    <x:row r="7">
      <x:c r="A7" s="136" t="s">
        <x:v>52</x:v>
      </x:c>
      <x:c r="B7" s="136"/>
      <x:c r="C7" s="136"/>
      <x:c r="D7" s="136"/>
      <x:c r="E7" s="136"/>
      <x:c r="F7" s="136"/>
      <x:c r="G7" s="136"/>
      <x:c r="H7" s="136"/>
      <x:c r="I7" s="136"/>
      <x:c r="J7" s="136"/>
      <x:c r="K7" s="136"/>
      <x:c r="L7" s="136"/>
      <x:c r="M7" s="136"/>
    </x:row>
    <x:row r="8">
      <x:c r="A8" s="136" t="s">
        <x:v>53</x:v>
      </x:c>
      <x:c r="B8" s="136"/>
      <x:c r="C8" s="136"/>
      <x:c r="D8" s="136"/>
      <x:c r="E8" s="136"/>
      <x:c r="F8" s="136"/>
      <x:c r="G8" s="136"/>
      <x:c r="H8" s="136"/>
      <x:c r="I8" s="136"/>
      <x:c r="J8" s="136"/>
      <x:c r="K8" s="136"/>
      <x:c r="L8" s="136"/>
      <x:c r="M8" s="136"/>
    </x:row>
    <x:row r="9">
      <x:c r="A9" s="136" t="s">
        <x:v>54</x:v>
      </x:c>
      <x:c r="B9" s="136"/>
      <x:c r="C9" s="136"/>
      <x:c r="D9" s="136"/>
      <x:c r="E9" s="136"/>
      <x:c r="F9" s="136"/>
      <x:c r="G9" s="136"/>
      <x:c r="H9" s="136"/>
      <x:c r="I9" s="136"/>
      <x:c r="J9" s="136"/>
      <x:c r="K9" s="136"/>
      <x:c r="L9" s="136"/>
      <x:c r="M9" s="136"/>
    </x:row>
    <x:row r="10">
      <x:c r="A10" s="136" t="s">
        <x:v>55</x:v>
      </x:c>
      <x:c r="B10" s="136"/>
      <x:c r="C10" s="136"/>
      <x:c r="D10" s="136"/>
      <x:c r="E10" s="136"/>
      <x:c r="F10" s="136"/>
      <x:c r="G10" s="136"/>
      <x:c r="H10" s="136"/>
      <x:c r="I10" s="136"/>
      <x:c r="J10" s="136"/>
      <x:c r="K10" s="136"/>
      <x:c r="L10" s="136"/>
      <x:c r="M10" s="136"/>
    </x:row>
    <x:row r="11">
      <x:c r="A11" s="136" t="s">
        <x:v>56</x:v>
      </x:c>
      <x:c r="B11" s="136"/>
      <x:c r="C11" s="136"/>
      <x:c r="D11" s="136"/>
      <x:c r="E11" s="136"/>
      <x:c r="F11" s="136"/>
      <x:c r="G11" s="136"/>
      <x:c r="H11" s="136"/>
      <x:c r="I11" s="136"/>
      <x:c r="J11" s="136"/>
      <x:c r="K11" s="136"/>
      <x:c r="L11" s="136"/>
      <x:c r="M11" s="136"/>
    </x:row>
    <x:row r="12">
      <x:c r="A12" s="136" t="s">
        <x:v>57</x:v>
      </x:c>
      <x:c r="B12" s="136"/>
      <x:c r="C12" s="136"/>
      <x:c r="D12" s="136"/>
      <x:c r="E12" s="136"/>
      <x:c r="F12" s="136"/>
      <x:c r="G12" s="136"/>
      <x:c r="H12" s="136"/>
      <x:c r="I12" s="136"/>
      <x:c r="J12" s="136"/>
      <x:c r="K12" s="136"/>
      <x:c r="L12" s="136"/>
      <x:c r="M12" s="136"/>
    </x:row>
    <x:row r="13">
      <x:c r="A13" s="136" t="s">
        <x:v>58</x:v>
      </x:c>
      <x:c r="B13" s="136"/>
      <x:c r="C13" s="136"/>
      <x:c r="D13" s="136"/>
      <x:c r="E13" s="136"/>
      <x:c r="F13" s="136"/>
      <x:c r="G13" s="136"/>
      <x:c r="H13" s="136"/>
      <x:c r="I13" s="136"/>
      <x:c r="J13" s="136"/>
      <x:c r="K13" s="136"/>
      <x:c r="L13" s="136"/>
      <x:c r="M13" s="136"/>
    </x:row>
    <x:row r="14">
      <x:c r="A14" s="136" t="s">
        <x:v>59</x:v>
      </x:c>
      <x:c r="B14" s="136"/>
      <x:c r="C14" s="136"/>
      <x:c r="D14" s="136"/>
      <x:c r="E14" s="136"/>
      <x:c r="F14" s="136"/>
      <x:c r="G14" s="136"/>
      <x:c r="H14" s="136"/>
      <x:c r="I14" s="136"/>
      <x:c r="J14" s="136"/>
      <x:c r="K14" s="136"/>
      <x:c r="L14" s="136"/>
      <x:c r="M14" s="136"/>
    </x:row>
    <x:row r="15">
      <x:c r="A15" s="136" t="s">
        <x:v>60</x:v>
      </x:c>
      <x:c r="B15" s="136"/>
      <x:c r="C15" s="136"/>
      <x:c r="D15" s="136"/>
      <x:c r="E15" s="136"/>
      <x:c r="F15" s="136"/>
      <x:c r="G15" s="136"/>
      <x:c r="H15" s="136"/>
      <x:c r="I15" s="136"/>
      <x:c r="J15" s="136"/>
      <x:c r="K15" s="136"/>
      <x:c r="L15" s="136"/>
      <x:c r="M15" s="136"/>
    </x:row>
    <x:row r="16">
      <x:c r="A16" s="136" t="s">
        <x:v>61</x:v>
      </x:c>
      <x:c r="B16" s="136"/>
      <x:c r="C16" s="136"/>
      <x:c r="D16" s="136"/>
      <x:c r="E16" s="136"/>
      <x:c r="F16" s="136"/>
      <x:c r="G16" s="136"/>
      <x:c r="H16" s="136"/>
      <x:c r="I16" s="136"/>
      <x:c r="J16" s="136"/>
      <x:c r="K16" s="136"/>
      <x:c r="L16" s="136"/>
      <x:c r="M16" s="136"/>
    </x:row>
    <x:row r="17">
      <x:c r="A17" s="136" t="s">
        <x:v>62</x:v>
      </x:c>
      <x:c r="B17" s="136"/>
      <x:c r="C17" s="136"/>
      <x:c r="D17" s="136"/>
      <x:c r="E17" s="136"/>
      <x:c r="F17" s="136"/>
      <x:c r="G17" s="136"/>
      <x:c r="H17" s="136"/>
      <x:c r="I17" s="136"/>
      <x:c r="J17" s="136"/>
      <x:c r="K17" s="136"/>
      <x:c r="L17" s="136"/>
      <x:c r="M17" s="136"/>
    </x:row>
    <x:row r="18">
      <x:c r="A18" s="136" t="s">
        <x:v>63</x:v>
      </x:c>
      <x:c r="B18" s="136"/>
      <x:c r="C18" s="136"/>
      <x:c r="D18" s="136"/>
      <x:c r="E18" s="136"/>
      <x:c r="F18" s="136"/>
      <x:c r="G18" s="136"/>
      <x:c r="H18" s="136"/>
      <x:c r="I18" s="136"/>
      <x:c r="J18" s="136"/>
      <x:c r="K18" s="136"/>
      <x:c r="L18" s="136"/>
      <x:c r="M18" s="136"/>
    </x:row>
    <x:row r="19">
      <x:c r="A19" s="136" t="s">
        <x:v>64</x:v>
      </x:c>
      <x:c r="B19" s="136"/>
      <x:c r="C19" s="136"/>
      <x:c r="D19" s="136"/>
      <x:c r="E19" s="136"/>
      <x:c r="F19" s="136"/>
      <x:c r="G19" s="136"/>
      <x:c r="H19" s="136"/>
      <x:c r="I19" s="136"/>
      <x:c r="J19" s="136"/>
      <x:c r="K19" s="136"/>
      <x:c r="L19" s="136"/>
      <x:c r="M19" s="136"/>
    </x:row>
    <x:row r="20">
      <x:c r="A20" s="136" t="s">
        <x:v>65</x:v>
      </x:c>
      <x:c r="B20" s="136"/>
      <x:c r="C20" s="136"/>
      <x:c r="D20" s="136"/>
      <x:c r="E20" s="136"/>
      <x:c r="F20" s="136"/>
      <x:c r="G20" s="136"/>
      <x:c r="H20" s="136"/>
      <x:c r="I20" s="136"/>
      <x:c r="J20" s="136"/>
      <x:c r="K20" s="136"/>
      <x:c r="L20" s="136"/>
      <x:c r="M20" s="136"/>
    </x:row>
    <x:row r="21" ht="15.75" customHeight="1">
      <x:c r="A21" s="136" t="s">
        <x:v>66</x:v>
      </x:c>
      <x:c r="B21" s="136"/>
      <x:c r="C21" s="136"/>
      <x:c r="D21" s="136"/>
      <x:c r="E21" s="136"/>
      <x:c r="F21" s="136"/>
      <x:c r="G21" s="136"/>
      <x:c r="H21" s="136"/>
      <x:c r="I21" s="136"/>
      <x:c r="J21" s="136"/>
      <x:c r="K21" s="136"/>
      <x:c r="L21" s="136"/>
      <x:c r="M21" s="136"/>
    </x:row>
    <x:row r="22" ht="15.75" customHeight="1">
      <x:c r="A22" s="136" t="s">
        <x:v>67</x:v>
      </x:c>
      <x:c r="B22" s="136"/>
      <x:c r="C22" s="136"/>
      <x:c r="D22" s="136"/>
      <x:c r="E22" s="136"/>
      <x:c r="F22" s="136"/>
      <x:c r="G22" s="136"/>
      <x:c r="H22" s="136"/>
      <x:c r="I22" s="136"/>
      <x:c r="J22" s="136"/>
      <x:c r="K22" s="136"/>
      <x:c r="L22" s="136"/>
      <x:c r="M22" s="136"/>
    </x:row>
    <x:row r="23" ht="15.75" customHeight="1">
      <x:c r="A23" s="136" t="s">
        <x:v>68</x:v>
      </x:c>
      <x:c r="B23" s="136"/>
      <x:c r="C23" s="136"/>
      <x:c r="D23" s="136"/>
      <x:c r="E23" s="136"/>
      <x:c r="F23" s="136"/>
      <x:c r="G23" s="136"/>
      <x:c r="H23" s="136"/>
      <x:c r="I23" s="136"/>
      <x:c r="J23" s="136"/>
      <x:c r="K23" s="136"/>
      <x:c r="L23" s="136"/>
      <x:c r="M23" s="136"/>
    </x:row>
    <x:row r="24" ht="15.75" customHeight="1">
      <x:c r="A24" s="136" t="s">
        <x:v>69</x:v>
      </x:c>
      <x:c r="B24" s="136"/>
      <x:c r="C24" s="136"/>
      <x:c r="D24" s="136"/>
      <x:c r="E24" s="136"/>
      <x:c r="F24" s="136"/>
      <x:c r="G24" s="136"/>
      <x:c r="H24" s="136"/>
      <x:c r="I24" s="136"/>
      <x:c r="J24" s="136"/>
      <x:c r="K24" s="136"/>
      <x:c r="L24" s="136"/>
      <x:c r="M24" s="136"/>
    </x:row>
    <x:row r="25" ht="15.75" customHeight="1">
      <x:c r="A25" s="136" t="s">
        <x:v>70</x:v>
      </x:c>
      <x:c r="B25" s="136"/>
      <x:c r="C25" s="136"/>
      <x:c r="D25" s="136"/>
      <x:c r="E25" s="136"/>
      <x:c r="F25" s="136"/>
      <x:c r="G25" s="136"/>
      <x:c r="H25" s="136"/>
      <x:c r="I25" s="136"/>
      <x:c r="J25" s="136"/>
      <x:c r="K25" s="136"/>
      <x:c r="L25" s="136"/>
      <x:c r="M25" s="136"/>
    </x:row>
    <x:row r="26" ht="15.75" customHeight="1">
      <x:c r="A26" s="136" t="s">
        <x:v>71</x:v>
      </x:c>
      <x:c r="B26" s="136"/>
      <x:c r="C26" s="136"/>
      <x:c r="D26" s="136"/>
      <x:c r="E26" s="136"/>
      <x:c r="F26" s="136"/>
      <x:c r="G26" s="136"/>
      <x:c r="H26" s="136"/>
      <x:c r="I26" s="136"/>
      <x:c r="J26" s="136"/>
      <x:c r="K26" s="136"/>
      <x:c r="L26" s="136"/>
      <x:c r="M26" s="136"/>
    </x:row>
    <x:row r="27" ht="15.75" customHeight="1">
      <x:c r="A27" s="136" t="s">
        <x:v>72</x:v>
      </x:c>
      <x:c r="B27" s="136"/>
      <x:c r="C27" s="136"/>
      <x:c r="D27" s="136"/>
      <x:c r="E27" s="136"/>
      <x:c r="F27" s="136"/>
      <x:c r="G27" s="136"/>
      <x:c r="H27" s="136"/>
      <x:c r="I27" s="136"/>
      <x:c r="J27" s="136"/>
      <x:c r="K27" s="136"/>
      <x:c r="L27" s="136"/>
      <x:c r="M27" s="136"/>
    </x:row>
    <x:row r="28" ht="15.75" customHeight="1">
      <x:c r="A28" s="136" t="s">
        <x:v>73</x:v>
      </x:c>
      <x:c r="B28" s="136"/>
      <x:c r="C28" s="136"/>
      <x:c r="D28" s="136"/>
      <x:c r="E28" s="136"/>
      <x:c r="F28" s="136"/>
      <x:c r="G28" s="136"/>
      <x:c r="H28" s="136"/>
      <x:c r="I28" s="136"/>
      <x:c r="J28" s="136"/>
      <x:c r="K28" s="136"/>
      <x:c r="L28" s="136"/>
      <x:c r="M28" s="136"/>
    </x:row>
    <x:row r="29" ht="15.75" customHeight="1">
      <x:c r="A29" s="136" t="s">
        <x:v>74</x:v>
      </x:c>
      <x:c r="B29" s="136"/>
      <x:c r="C29" s="136"/>
      <x:c r="D29" s="136"/>
      <x:c r="E29" s="136"/>
      <x:c r="F29" s="136"/>
      <x:c r="G29" s="136"/>
      <x:c r="H29" s="136"/>
      <x:c r="I29" s="136"/>
      <x:c r="J29" s="136"/>
      <x:c r="K29" s="136"/>
      <x:c r="L29" s="136"/>
      <x:c r="M29" s="136"/>
    </x:row>
    <x:row r="30" ht="15.75" customHeight="1">
      <x:c r="A30" s="136" t="s">
        <x:v>75</x:v>
      </x:c>
      <x:c r="B30" s="136"/>
      <x:c r="C30" s="136"/>
      <x:c r="D30" s="136"/>
      <x:c r="E30" s="136"/>
      <x:c r="F30" s="136"/>
      <x:c r="G30" s="136"/>
      <x:c r="H30" s="136"/>
      <x:c r="I30" s="136"/>
      <x:c r="J30" s="136"/>
      <x:c r="K30" s="136"/>
      <x:c r="L30" s="136"/>
      <x:c r="M30" s="136"/>
    </x:row>
    <x:row r="31" ht="15.75" customHeight="1">
      <x:c r="A31" s="136" t="s">
        <x:v>76</x:v>
      </x:c>
      <x:c r="B31" s="136"/>
      <x:c r="C31" s="136"/>
      <x:c r="D31" s="136"/>
      <x:c r="E31" s="136"/>
      <x:c r="F31" s="136"/>
      <x:c r="G31" s="136"/>
      <x:c r="H31" s="136"/>
      <x:c r="I31" s="136"/>
      <x:c r="J31" s="136"/>
      <x:c r="K31" s="136"/>
      <x:c r="L31" s="136"/>
      <x:c r="M31" s="136"/>
    </x:row>
    <x:row r="32" ht="15.75" customHeight="1">
      <x:c r="A32" s="136" t="s">
        <x:v>77</x:v>
      </x:c>
      <x:c r="B32" s="136"/>
      <x:c r="C32" s="136"/>
      <x:c r="D32" s="136"/>
      <x:c r="E32" s="136"/>
      <x:c r="F32" s="136"/>
      <x:c r="G32" s="136"/>
      <x:c r="H32" s="136"/>
      <x:c r="I32" s="136"/>
      <x:c r="J32" s="136"/>
      <x:c r="K32" s="136"/>
      <x:c r="L32" s="136"/>
      <x:c r="M32" s="136"/>
    </x:row>
    <x:row r="33" ht="15.75" customHeight="1">
      <x:c r="A33" s="136" t="s">
        <x:v>78</x:v>
      </x:c>
      <x:c r="B33" s="136"/>
      <x:c r="C33" s="136"/>
      <x:c r="D33" s="136"/>
      <x:c r="E33" s="136"/>
      <x:c r="F33" s="136"/>
      <x:c r="G33" s="136"/>
      <x:c r="H33" s="136"/>
      <x:c r="I33" s="136"/>
      <x:c r="J33" s="136"/>
      <x:c r="K33" s="136"/>
      <x:c r="L33" s="136"/>
      <x:c r="M33" s="136"/>
    </x:row>
    <x:row r="34" ht="15.75" customHeight="1">
      <x:c r="A34" s="136" t="s">
        <x:v>79</x:v>
      </x:c>
      <x:c r="B34" s="136"/>
      <x:c r="C34" s="136"/>
      <x:c r="D34" s="136"/>
      <x:c r="E34" s="136"/>
      <x:c r="F34" s="136"/>
      <x:c r="G34" s="136"/>
      <x:c r="H34" s="136"/>
      <x:c r="I34" s="136"/>
      <x:c r="J34" s="136"/>
      <x:c r="K34" s="136"/>
      <x:c r="L34" s="136"/>
      <x:c r="M34" s="136"/>
    </x:row>
    <x:row r="35" ht="15.75" customHeight="1">
      <x:c r="A35" s="136" t="s">
        <x:v>80</x:v>
      </x:c>
      <x:c r="B35" s="136"/>
      <x:c r="C35" s="136"/>
      <x:c r="D35" s="136"/>
      <x:c r="E35" s="136"/>
      <x:c r="F35" s="136"/>
      <x:c r="G35" s="136"/>
      <x:c r="H35" s="136"/>
      <x:c r="I35" s="136"/>
      <x:c r="J35" s="136"/>
      <x:c r="K35" s="136"/>
      <x:c r="L35" s="136"/>
      <x:c r="M35" s="136"/>
    </x:row>
    <x:row r="36" ht="15.75" customHeight="1">
      <x:c r="A36" s="136" t="s">
        <x:v>81</x:v>
      </x:c>
      <x:c r="B36" s="136"/>
      <x:c r="C36" s="136"/>
      <x:c r="D36" s="136"/>
      <x:c r="E36" s="136"/>
      <x:c r="F36" s="136"/>
      <x:c r="G36" s="136"/>
      <x:c r="H36" s="136"/>
      <x:c r="I36" s="136"/>
      <x:c r="J36" s="136"/>
      <x:c r="K36" s="136"/>
      <x:c r="L36" s="136"/>
      <x:c r="M36" s="136"/>
    </x:row>
    <x:row r="37" ht="15.75" customHeight="1">
      <x:c r="A37" s="136" t="s">
        <x:v>82</x:v>
      </x:c>
      <x:c r="B37" s="136"/>
      <x:c r="C37" s="136"/>
      <x:c r="D37" s="136"/>
      <x:c r="E37" s="136"/>
      <x:c r="F37" s="136"/>
      <x:c r="G37" s="136"/>
      <x:c r="H37" s="136"/>
      <x:c r="I37" s="136"/>
      <x:c r="J37" s="136"/>
      <x:c r="K37" s="136"/>
      <x:c r="L37" s="136"/>
      <x:c r="M37" s="136"/>
    </x:row>
    <x:row r="38" ht="15.75" customHeight="1">
      <x:c r="A38" s="136" t="s">
        <x:v>83</x:v>
      </x:c>
      <x:c r="B38" s="136"/>
      <x:c r="C38" s="136"/>
      <x:c r="D38" s="136"/>
      <x:c r="E38" s="136"/>
      <x:c r="F38" s="136"/>
      <x:c r="G38" s="136"/>
      <x:c r="H38" s="136"/>
      <x:c r="I38" s="136"/>
      <x:c r="J38" s="136"/>
      <x:c r="K38" s="136"/>
      <x:c r="L38" s="136"/>
      <x:c r="M38" s="136"/>
    </x:row>
    <x:row r="39" ht="15.75" customHeight="1">
      <x:c r="A39" s="136" t="s">
        <x:v>84</x:v>
      </x:c>
      <x:c r="B39" s="136"/>
      <x:c r="C39" s="136"/>
      <x:c r="D39" s="136"/>
      <x:c r="E39" s="136"/>
      <x:c r="F39" s="136"/>
      <x:c r="G39" s="136"/>
      <x:c r="H39" s="136"/>
      <x:c r="I39" s="136"/>
      <x:c r="J39" s="136"/>
      <x:c r="K39" s="136"/>
      <x:c r="L39" s="136"/>
      <x:c r="M39" s="136"/>
    </x:row>
    <x:row r="40" ht="15.75" customHeight="1">
      <x:c r="A40" s="136" t="s">
        <x:v>85</x:v>
      </x:c>
      <x:c r="B40" s="136"/>
      <x:c r="C40" s="136"/>
      <x:c r="D40" s="136"/>
      <x:c r="E40" s="136"/>
      <x:c r="F40" s="136"/>
      <x:c r="G40" s="136"/>
      <x:c r="H40" s="136"/>
      <x:c r="I40" s="136"/>
      <x:c r="J40" s="136"/>
      <x:c r="K40" s="136"/>
      <x:c r="L40" s="136"/>
      <x:c r="M40" s="136"/>
    </x:row>
    <x:row r="41" ht="15.75" customHeight="1">
      <x:c r="A41" s="136" t="s">
        <x:v>86</x:v>
      </x:c>
      <x:c r="B41" s="136"/>
      <x:c r="C41" s="136"/>
      <x:c r="D41" s="136"/>
      <x:c r="E41" s="136"/>
      <x:c r="F41" s="136"/>
      <x:c r="G41" s="136"/>
      <x:c r="H41" s="136"/>
      <x:c r="I41" s="136"/>
      <x:c r="J41" s="136"/>
      <x:c r="K41" s="136"/>
      <x:c r="L41" s="136"/>
      <x:c r="M41" s="136"/>
    </x:row>
    <x:row r="42" ht="15.75" customHeight="1">
      <x:c r="A42" s="136" t="s">
        <x:v>87</x:v>
      </x:c>
      <x:c r="B42" s="136"/>
      <x:c r="C42" s="136"/>
      <x:c r="D42" s="136"/>
      <x:c r="E42" s="136"/>
      <x:c r="F42" s="136"/>
      <x:c r="G42" s="136"/>
      <x:c r="H42" s="136"/>
      <x:c r="I42" s="136"/>
      <x:c r="J42" s="136"/>
      <x:c r="K42" s="136"/>
      <x:c r="L42" s="136"/>
      <x:c r="M42" s="136"/>
    </x:row>
    <x:row r="43" ht="15.75" customHeight="1">
      <x:c r="A43" s="136" t="s">
        <x:v>88</x:v>
      </x:c>
      <x:c r="B43" s="136"/>
      <x:c r="C43" s="136"/>
      <x:c r="D43" s="136"/>
      <x:c r="E43" s="136"/>
      <x:c r="F43" s="136"/>
      <x:c r="G43" s="136"/>
      <x:c r="H43" s="136"/>
      <x:c r="I43" s="136"/>
      <x:c r="J43" s="136"/>
      <x:c r="K43" s="136"/>
      <x:c r="L43" s="136"/>
      <x:c r="M43" s="136"/>
    </x:row>
    <x:row r="44" ht="15.75" customHeight="1">
      <x:c r="A44" s="136" t="s">
        <x:v>89</x:v>
      </x:c>
      <x:c r="B44" s="136"/>
      <x:c r="C44" s="136"/>
      <x:c r="D44" s="136"/>
      <x:c r="E44" s="136"/>
      <x:c r="F44" s="136"/>
      <x:c r="G44" s="136"/>
      <x:c r="H44" s="136"/>
      <x:c r="I44" s="136"/>
      <x:c r="J44" s="136"/>
      <x:c r="K44" s="136"/>
      <x:c r="L44" s="136"/>
      <x:c r="M44" s="136"/>
    </x:row>
    <x:row r="45" ht="15.75" customHeight="1">
      <x:c r="A45" s="136" t="s">
        <x:v>90</x:v>
      </x:c>
      <x:c r="B45" s="136"/>
      <x:c r="C45" s="136"/>
      <x:c r="D45" s="136"/>
      <x:c r="E45" s="136"/>
      <x:c r="F45" s="136"/>
      <x:c r="G45" s="136"/>
      <x:c r="H45" s="136"/>
      <x:c r="I45" s="136"/>
      <x:c r="J45" s="136"/>
      <x:c r="K45" s="136"/>
      <x:c r="L45" s="136"/>
      <x:c r="M45" s="136"/>
    </x:row>
    <x:row r="46" ht="15.75" customHeight="1">
      <x:c r="A46" s="136" t="s">
        <x:v>91</x:v>
      </x:c>
      <x:c r="B46" s="136"/>
      <x:c r="C46" s="136"/>
      <x:c r="D46" s="136"/>
      <x:c r="E46" s="136"/>
      <x:c r="F46" s="136"/>
      <x:c r="G46" s="136"/>
      <x:c r="H46" s="136"/>
      <x:c r="I46" s="136"/>
      <x:c r="J46" s="136"/>
      <x:c r="K46" s="136"/>
      <x:c r="L46" s="136"/>
      <x:c r="M46" s="136"/>
    </x:row>
    <x:row r="47" ht="15.75" customHeight="1">
      <x:c r="A47" s="136" t="s">
        <x:v>92</x:v>
      </x:c>
      <x:c r="B47" s="136"/>
      <x:c r="C47" s="136"/>
      <x:c r="D47" s="136"/>
      <x:c r="E47" s="136"/>
      <x:c r="F47" s="136"/>
      <x:c r="G47" s="136"/>
      <x:c r="H47" s="136"/>
      <x:c r="I47" s="136"/>
      <x:c r="J47" s="136"/>
      <x:c r="K47" s="136"/>
      <x:c r="L47" s="136"/>
      <x:c r="M47" s="136"/>
    </x:row>
    <x:row r="48" ht="15.75" customHeight="1">
      <x:c r="A48" s="136" t="s">
        <x:v>93</x:v>
      </x:c>
      <x:c r="B48" s="136"/>
      <x:c r="C48" s="136"/>
      <x:c r="D48" s="136"/>
      <x:c r="E48" s="136"/>
      <x:c r="F48" s="136"/>
      <x:c r="G48" s="136"/>
      <x:c r="H48" s="136"/>
      <x:c r="I48" s="136"/>
      <x:c r="J48" s="136"/>
      <x:c r="K48" s="136"/>
      <x:c r="L48" s="136"/>
      <x:c r="M48" s="136"/>
    </x:row>
    <x:row r="49" ht="15.75" customHeight="1">
      <x:c r="A49" s="136" t="s">
        <x:v>94</x:v>
      </x:c>
      <x:c r="B49" s="136"/>
      <x:c r="C49" s="136"/>
      <x:c r="D49" s="136"/>
      <x:c r="E49" s="136"/>
      <x:c r="F49" s="136"/>
      <x:c r="G49" s="136"/>
      <x:c r="H49" s="136"/>
      <x:c r="I49" s="136"/>
      <x:c r="J49" s="136"/>
      <x:c r="K49" s="136"/>
      <x:c r="L49" s="136"/>
      <x:c r="M49" s="136"/>
    </x:row>
    <x:row r="50" ht="15.75" customHeight="1">
      <x:c r="A50" s="136" t="s">
        <x:v>95</x:v>
      </x:c>
      <x:c r="B50" s="136"/>
      <x:c r="C50" s="136"/>
      <x:c r="D50" s="136"/>
      <x:c r="E50" s="136"/>
      <x:c r="F50" s="136"/>
      <x:c r="G50" s="136"/>
      <x:c r="H50" s="136"/>
      <x:c r="I50" s="136"/>
      <x:c r="J50" s="136"/>
      <x:c r="K50" s="136"/>
      <x:c r="L50" s="136"/>
      <x:c r="M50" s="136"/>
    </x:row>
    <x:row r="51" ht="15.75" customHeight="1">
      <x:c r="A51" s="136" t="s">
        <x:v>96</x:v>
      </x:c>
      <x:c r="B51" s="136"/>
      <x:c r="C51" s="136"/>
      <x:c r="D51" s="136"/>
      <x:c r="E51" s="136"/>
      <x:c r="F51" s="136"/>
      <x:c r="G51" s="136"/>
      <x:c r="H51" s="136"/>
      <x:c r="I51" s="136"/>
      <x:c r="J51" s="136"/>
      <x:c r="K51" s="136"/>
      <x:c r="L51" s="136"/>
      <x:c r="M51" s="136"/>
    </x:row>
    <x:row r="52" ht="15.75" customHeight="1"/>
    <x:row r="53" ht="15.75" customHeight="1"/>
    <x:row r="54" ht="15.75" customHeight="1"/>
    <x:row r="55" ht="15.75" customHeight="1"/>
    <x:row r="56" ht="15.75" customHeight="1"/>
    <x:row r="57" ht="15.75" customHeight="1"/>
    <x:row r="58" ht="15.75" customHeight="1"/>
    <x:row r="59" ht="15.75" customHeight="1"/>
    <x:row r="60" ht="15.75" customHeight="1"/>
    <x:row r="61" ht="15.75" customHeight="1"/>
    <x:row r="62" ht="15.75" customHeight="1"/>
    <x:row r="63" ht="15.75" customHeight="1"/>
    <x:row r="64" ht="15.75" customHeight="1"/>
    <x:row r="65" ht="15.75" customHeight="1"/>
    <x:row r="66" ht="15.75" customHeight="1"/>
    <x:row r="67" ht="15.75" customHeight="1"/>
    <x:row r="68" ht="15.75" customHeight="1"/>
    <x:row r="69" ht="15.75" customHeight="1"/>
    <x:row r="70" ht="15.75" customHeight="1"/>
    <x:row r="71" ht="15.75" customHeight="1"/>
    <x:row r="72" ht="15.75" customHeight="1"/>
    <x:row r="73" ht="15.75" customHeight="1"/>
    <x:row r="74" ht="15.75" customHeight="1"/>
    <x:row r="75" ht="15.75" customHeight="1"/>
    <x:row r="76" ht="15.75" customHeight="1"/>
    <x:row r="77" ht="15.75" customHeight="1"/>
    <x:row r="78" ht="15.75" customHeight="1"/>
    <x:row r="79" ht="15.75" customHeight="1"/>
    <x:row r="80" ht="15.75" customHeight="1"/>
    <x:row r="81" ht="15.75" customHeight="1"/>
    <x:row r="82" ht="15.75" customHeight="1"/>
    <x:row r="83" ht="15.75" customHeight="1"/>
    <x:row r="84" ht="15.75" customHeight="1"/>
    <x:row r="85" ht="15.75" customHeight="1"/>
    <x:row r="86" ht="15.75" customHeight="1"/>
    <x:row r="87" ht="15.75" customHeight="1"/>
    <x:row r="88" ht="15.75" customHeight="1"/>
    <x:row r="89" ht="15.75" customHeight="1"/>
    <x:row r="90" ht="15.75" customHeight="1"/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</x:sheetData>
  <x:dataValidations count="3">
    <x:dataValidation type="list" allowBlank="1" sqref="B2:B51">
      <x:formula1>"Financiera,Clientes,Procesos internos,Aprendizaje y crecimiento"</x:formula1>
    </x:dataValidation>
    <x:dataValidation type="list" allowBlank="1" sqref="D2:D51">
      <x:formula1>"🌟 SUPERA META,🟢 LOGRADO,🟡 CASI LOGRADO,🟠 RIESGO MODERADO,🔴 RIESGO ALTO,⛔ CRÍTICO"</x:formula1>
    </x:dataValidation>
    <x:dataValidation type="list" allowBlank="1" sqref="K2:K51">
      <x:formula1>"No iniciado,En curso,Bloqueado,Completado,Cancelado"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39" hidden="0" customWidth="1"/>
    <x:col min="4" max="4" width="42" hidden="0" customWidth="1"/>
    <x:col min="5" max="5" width="20" hidden="0" customWidth="1"/>
    <x:col min="6" max="6" width="18" hidden="0" customWidth="1"/>
    <x:col min="7" max="7" width="20" hidden="0" customWidth="1"/>
    <x:col min="8" max="8" width="17" hidden="0" customWidth="1"/>
    <x:col min="9" max="9" width="17" hidden="0" customWidth="1"/>
    <x:col min="10" max="10" width="16" hidden="0" customWidth="1"/>
    <x:col min="11" max="11" width="24" hidden="0" customWidth="1"/>
    <x:col min="12" max="12" width="22" hidden="0" customWidth="1"/>
    <x:col min="13" max="13" width="12" hidden="0" customWidth="1"/>
    <x:col min="14" max="14" width="55" hidden="0" customWidth="1"/>
    <x:col min="15" max="15" width="65" hidden="0" customWidth="1"/>
  </x:cols>
  <x:sheetData>
    <x:row r="1" ht="32" customHeight="1">
      <x:c r="A1" s="141" t="str">
        <x:v>ID</x:v>
      </x:c>
      <x:c r="B1" s="141" t="str">
        <x:v>Perspectiva</x:v>
      </x:c>
      <x:c r="C1" s="141" t="str">
        <x:v>Objetivo estratégico</x:v>
      </x:c>
      <x:c r="D1" s="141" t="str">
        <x:v>Indicador (KPI)</x:v>
      </x:c>
      <x:c r="E1" s="141" t="str">
        <x:v>Dirección</x:v>
      </x:c>
      <x:c r="F1" s="141" t="str">
        <x:v>Unidad</x:v>
      </x:c>
      <x:c r="G1" s="141" t="str">
        <x:v>Periodo del real</x:v>
      </x:c>
      <x:c r="H1" s="141" t="str">
        <x:v>Meta propuesta</x:v>
      </x:c>
      <x:c r="I1" s="141" t="str">
        <x:v>Real / resultado</x:v>
      </x:c>
      <x:c r="J1" s="141" t="str">
        <x:v>% cumplimiento</x:v>
      </x:c>
      <x:c r="K1" s="141" t="str">
        <x:v>Estado</x:v>
      </x:c>
      <x:c r="L1" s="141" t="str">
        <x:v>Tipo de dato</x:v>
      </x:c>
      <x:c r="M1" s="141" t="str">
        <x:v>Fuente ID</x:v>
      </x:c>
      <x:c r="N1" s="141" t="str">
        <x:v>Fuente (URL)</x:v>
      </x:c>
      <x:c r="O1" s="141" t="str">
        <x:v>Nota / criterio</x:v>
      </x:c>
    </x:row>
    <x:row r="2">
      <x:c r="A2" s="161" t="str">
        <x:v>SW-01</x:v>
      </x:c>
      <x:c r="B2" s="161" t="str">
        <x:v>Financiera</x:v>
      </x:c>
      <x:c r="C2" s="161" t="str">
        <x:v>OBJ-F1: Mejorar la rentabilidad sostenible</x:v>
      </x:c>
      <x:c r="D2" s="161" t="str">
        <x:v>Margen operativo GAAP</x:v>
      </x:c>
      <x:c r="E2" s="161" t="str">
        <x:v>Mayor es mejor</x:v>
      </x:c>
      <x:c r="F2" s="161" t="str">
        <x:v>%</x:v>
      </x:c>
      <x:c r="G2" s="161" t="str">
        <x:v>2025 anual</x:v>
      </x:c>
      <x:c r="H2" s="162" t="n">
        <x:v>2</x:v>
      </x:c>
      <x:c r="I2" s="162" t="n">
        <x:v>1.5</x:v>
      </x:c>
      <x:c r="J2" s="184" t="n">
        <x:f>IF(OR(H2="",I2="",NOT(ISNUMBER(H2)),NOT(ISNUMBER(I2))),"-",IF(E2="Menor es mejor",IF(I2=0,100,H2/I2*100),IF(H2=0,"-",I2/H2*100)))</x:f>
        <x:v>75</x:v>
      </x:c>
      <x:c r="K2" s="163" t="str">
        <x:f>IF(OR(J2="-",NOT(ISNUMBER(J2))),"SIN DATOS",IF(J2&gt;=110,"🌟 SUPERA META",IF(J2&gt;=100,"🟢 LOGRADO",IF(J2&gt;=90,"🟡 CASI LOGRADO",IF(J2&gt;=75,"🟠 RIESGO MODERADO",IF(J2&gt;=60,"🔴 RIESGO ALTO","⛔ CRÍTICO"))))))</x:f>
        <x:v>🟠 RIESGO MODERADO</x:v>
      </x:c>
      <x:c r="L2" s="163" t="str">
        <x:v>Calculado público</x:v>
      </x:c>
      <x:c r="M2" s="163" t="str">
        <x:v>S1</x:v>
      </x:c>
      <x:c r="N2" s="163" t="str">
        <x:v>https://investors.southwest.com/sec-filings/all-sec-filings/content/0000092380-26-000004/luv-20251231.htm</x:v>
      </x:c>
      <x:c r="O2" s="163" t="str">
        <x:v>Calculado desde utilidad operativa US$428 MM / ingresos operativos US$28.1 mil MM; meta propuesta.</x:v>
      </x:c>
    </x:row>
    <x:row r="3">
      <x:c r="A3" s="161" t="str">
        <x:v>SW-02</x:v>
      </x:c>
      <x:c r="B3" s="161" t="str">
        <x:v>Financiera</x:v>
      </x:c>
      <x:c r="C3" s="161" t="str">
        <x:v>OBJ-F1: Mejorar la rentabilidad sostenible</x:v>
      </x:c>
      <x:c r="D3" s="161" t="str">
        <x:v>Utilidad neta GAAP</x:v>
      </x:c>
      <x:c r="E3" s="161" t="str">
        <x:v>Mayor es mejor</x:v>
      </x:c>
      <x:c r="F3" s="161" t="str">
        <x:v>US$ MM</x:v>
      </x:c>
      <x:c r="G3" s="161" t="str">
        <x:v>2025 anual</x:v>
      </x:c>
      <x:c r="H3" s="162" t="n">
        <x:v>500</x:v>
      </x:c>
      <x:c r="I3" s="162" t="n">
        <x:v>441</x:v>
      </x:c>
      <x:c r="J3" s="184" t="n">
        <x:f>IF(OR(H3="",I3="",NOT(ISNUMBER(H3)),NOT(ISNUMBER(I3))),"-",IF(E3="Menor es mejor",IF(I3=0,100,H3/I3*100),IF(H3=0,"-",I3/H3*100)))</x:f>
        <x:v>88.2</x:v>
      </x:c>
      <x:c r="K3" s="163" t="str">
        <x:f>IF(OR(J3="-",NOT(ISNUMBER(J3))),"SIN DATOS",IF(J3&gt;=110,"🌟 SUPERA META",IF(J3&gt;=100,"🟢 LOGRADO",IF(J3&gt;=90,"🟡 CASI LOGRADO",IF(J3&gt;=75,"🟠 RIESGO MODERADO",IF(J3&gt;=60,"🔴 RIESGO ALTO","⛔ CRÍTICO"))))))</x:f>
        <x:v>🟠 RIESGO MODERADO</x:v>
      </x:c>
      <x:c r="L3" s="163" t="str">
        <x:v>Público</x:v>
      </x:c>
      <x:c r="M3" s="163" t="str">
        <x:v>S3</x:v>
      </x:c>
      <x:c r="N3" s="163" t="str">
        <x:v>https://investors.southwest.com/news-events/press-releases/detail/1914/southwest-airlines-reports-fourth-quarter-and-full-year-2025-results-expects-strong-2026-financial-performance-from-business-transformation</x:v>
      </x:c>
      <x:c r="O3" s="163" t="str">
        <x:v>Cifra reportada para 2025; meta propuesta.</x:v>
      </x:c>
    </x:row>
    <x:row r="4">
      <x:c r="A4" s="161" t="str">
        <x:v>SW-03</x:v>
      </x:c>
      <x:c r="B4" s="161" t="str">
        <x:v>Financiera</x:v>
      </x:c>
      <x:c r="C4" s="161" t="str">
        <x:v>OBJ-F1: Mejorar la rentabilidad sostenible</x:v>
      </x:c>
      <x:c r="D4" s="161" t="str">
        <x:v>EBIT ajustado</x:v>
      </x:c>
      <x:c r="E4" s="161" t="str">
        <x:v>Mayor es mejor</x:v>
      </x:c>
      <x:c r="F4" s="161" t="str">
        <x:v>US$ MM</x:v>
      </x:c>
      <x:c r="G4" s="161" t="str">
        <x:v>2025 anual</x:v>
      </x:c>
      <x:c r="H4" s="162" t="n">
        <x:v>600</x:v>
      </x:c>
      <x:c r="I4" s="162" t="n">
        <x:v>574</x:v>
      </x:c>
      <x:c r="J4" s="184" t="n">
        <x:f>IF(OR(H4="",I4="",NOT(ISNUMBER(H4)),NOT(ISNUMBER(I4))),"-",IF(E4="Menor es mejor",IF(I4=0,100,H4/I4*100),IF(H4=0,"-",I4/H4*100)))</x:f>
        <x:v>95.66666666666667</x:v>
      </x:c>
      <x:c r="K4" s="163" t="str">
        <x:f>IF(OR(J4="-",NOT(ISNUMBER(J4))),"SIN DATOS",IF(J4&gt;=110,"🌟 SUPERA META",IF(J4&gt;=100,"🟢 LOGRADO",IF(J4&gt;=90,"🟡 CASI LOGRADO",IF(J4&gt;=75,"🟠 RIESGO MODERADO",IF(J4&gt;=60,"🔴 RIESGO ALTO","⛔ CRÍTICO"))))))</x:f>
        <x:v>🟡 CASI LOGRADO</x:v>
      </x:c>
      <x:c r="L4" s="163" t="str">
        <x:v>Público</x:v>
      </x:c>
      <x:c r="M4" s="163" t="str">
        <x:v>S3</x:v>
      </x:c>
      <x:c r="N4" s="163" t="str">
        <x:v>https://investors.southwest.com/news-events/press-releases/detail/1914/southwest-airlines-reports-fourth-quarter-and-full-year-2025-results-expects-strong-2026-financial-performance-from-business-transformation</x:v>
      </x:c>
      <x:c r="O4" s="163" t="str">
        <x:v>Resultado ajustado publicado; meta propuesta.</x:v>
      </x:c>
    </x:row>
    <x:row r="5">
      <x:c r="A5" s="161" t="str">
        <x:v>SW-04</x:v>
      </x:c>
      <x:c r="B5" s="161" t="str">
        <x:v>Financiera</x:v>
      </x:c>
      <x:c r="C5" s="161" t="str">
        <x:v>OBJ-F2: Impulsar ingresos y demanda de pasajeros</x:v>
      </x:c>
      <x:c r="D5" s="161" t="str">
        <x:v>Ingresos operativos</x:v>
      </x:c>
      <x:c r="E5" s="161" t="str">
        <x:v>Mayor es mejor</x:v>
      </x:c>
      <x:c r="F5" s="161" t="str">
        <x:v>US$ mil MM</x:v>
      </x:c>
      <x:c r="G5" s="161" t="str">
        <x:v>2025 anual</x:v>
      </x:c>
      <x:c r="H5" s="162" t="n">
        <x:v>29</x:v>
      </x:c>
      <x:c r="I5" s="162" t="n">
        <x:v>28.1</x:v>
      </x:c>
      <x:c r="J5" s="184" t="n">
        <x:f>IF(OR(H5="",I5="",NOT(ISNUMBER(H5)),NOT(ISNUMBER(I5))),"-",IF(E5="Menor es mejor",IF(I5=0,100,H5/I5*100),IF(H5=0,"-",I5/H5*100)))</x:f>
        <x:v>96.89655172413794</x:v>
      </x:c>
      <x:c r="K5" s="163" t="str">
        <x:f>IF(OR(J5="-",NOT(ISNUMBER(J5))),"SIN DATOS",IF(J5&gt;=110,"🌟 SUPERA META",IF(J5&gt;=100,"🟢 LOGRADO",IF(J5&gt;=90,"🟡 CASI LOGRADO",IF(J5&gt;=75,"🟠 RIESGO MODERADO",IF(J5&gt;=60,"🔴 RIESGO ALTO","⛔ CRÍTICO"))))))</x:f>
        <x:v>🟡 CASI LOGRADO</x:v>
      </x:c>
      <x:c r="L5" s="163" t="str">
        <x:v>Público</x:v>
      </x:c>
      <x:c r="M5" s="163" t="str">
        <x:v>S3</x:v>
      </x:c>
      <x:c r="N5" s="163" t="str">
        <x:v>https://investors.southwest.com/news-events/press-releases/detail/1914/southwest-airlines-reports-fourth-quarter-and-full-year-2025-results-expects-strong-2026-financial-performance-from-business-transformation</x:v>
      </x:c>
      <x:c r="O5" s="163" t="str">
        <x:v>Récord anual reportado; meta propuesta.</x:v>
      </x:c>
    </x:row>
    <x:row r="6">
      <x:c r="A6" s="161" t="str">
        <x:v>SW-05</x:v>
      </x:c>
      <x:c r="B6" s="161" t="str">
        <x:v>Financiera</x:v>
      </x:c>
      <x:c r="C6" s="161" t="str">
        <x:v>OBJ-F2: Impulsar ingresos y demanda de pasajeros</x:v>
      </x:c>
      <x:c r="D6" s="161" t="str">
        <x:v>Ingresos de pasajeros</x:v>
      </x:c>
      <x:c r="E6" s="161" t="str">
        <x:v>Mayor es mejor</x:v>
      </x:c>
      <x:c r="F6" s="161" t="str">
        <x:v>US$ mil MM</x:v>
      </x:c>
      <x:c r="G6" s="161" t="str">
        <x:v>2025 anual</x:v>
      </x:c>
      <x:c r="H6" s="162" t="n">
        <x:v>26</x:v>
      </x:c>
      <x:c r="I6" s="162" t="n">
        <x:v>25.5</x:v>
      </x:c>
      <x:c r="J6" s="184" t="n">
        <x:f>IF(OR(H6="",I6="",NOT(ISNUMBER(H6)),NOT(ISNUMBER(I6))),"-",IF(E6="Menor es mejor",IF(I6=0,100,H6/I6*100),IF(H6=0,"-",I6/H6*100)))</x:f>
        <x:v>98.07692307692307</x:v>
      </x:c>
      <x:c r="K6" s="163" t="str">
        <x:f>IF(OR(J6="-",NOT(ISNUMBER(J6))),"SIN DATOS",IF(J6&gt;=110,"🌟 SUPERA META",IF(J6&gt;=100,"🟢 LOGRADO",IF(J6&gt;=90,"🟡 CASI LOGRADO",IF(J6&gt;=75,"🟠 RIESGO MODERADO",IF(J6&gt;=60,"🔴 RIESGO ALTO","⛔ CRÍTICO"))))))</x:f>
        <x:v>🟡 CASI LOGRADO</x:v>
      </x:c>
      <x:c r="L6" s="163" t="str">
        <x:v>Público</x:v>
      </x:c>
      <x:c r="M6" s="163" t="str">
        <x:v>S1</x:v>
      </x:c>
      <x:c r="N6" s="163" t="str">
        <x:v>https://investors.southwest.com/sec-filings/all-sec-filings/content/0000092380-26-000004/luv-20251231.htm</x:v>
      </x:c>
      <x:c r="O6" s="163" t="str">
        <x:v>Ingresos anuales de pasajeros reportados; meta propuesta.</x:v>
      </x:c>
    </x:row>
    <x:row r="7">
      <x:c r="A7" s="161" t="str">
        <x:v>SW-06</x:v>
      </x:c>
      <x:c r="B7" s="161" t="str">
        <x:v>Financiera</x:v>
      </x:c>
      <x:c r="C7" s="161" t="str">
        <x:v>OBJ-F2: Impulsar ingresos y demanda de pasajeros</x:v>
      </x:c>
      <x:c r="D7" s="161" t="str">
        <x:v>Pasajeros transportados</x:v>
      </x:c>
      <x:c r="E7" s="161" t="str">
        <x:v>Mayor es mejor</x:v>
      </x:c>
      <x:c r="F7" s="161" t="str">
        <x:v>millones</x:v>
      </x:c>
      <x:c r="G7" s="161" t="str">
        <x:v>2025 anual</x:v>
      </x:c>
      <x:c r="H7" s="162" t="n">
        <x:v>140</x:v>
      </x:c>
      <x:c r="I7" s="162" t="n">
        <x:v>134.11</x:v>
      </x:c>
      <x:c r="J7" s="184" t="n">
        <x:f>IF(OR(H7="",I7="",NOT(ISNUMBER(H7)),NOT(ISNUMBER(I7))),"-",IF(E7="Menor es mejor",IF(I7=0,100,H7/I7*100),IF(H7=0,"-",I7/H7*100)))</x:f>
        <x:v>95.79285714285716</x:v>
      </x:c>
      <x:c r="K7" s="163" t="str">
        <x:f>IF(OR(J7="-",NOT(ISNUMBER(J7))),"SIN DATOS",IF(J7&gt;=110,"🌟 SUPERA META",IF(J7&gt;=100,"🟢 LOGRADO",IF(J7&gt;=90,"🟡 CASI LOGRADO",IF(J7&gt;=75,"🟠 RIESGO MODERADO",IF(J7&gt;=60,"🔴 RIESGO ALTO","⛔ CRÍTICO"))))))</x:f>
        <x:v>🟡 CASI LOGRADO</x:v>
      </x:c>
      <x:c r="L7" s="163" t="str">
        <x:v>Público</x:v>
      </x:c>
      <x:c r="M7" s="163" t="str">
        <x:v>S1</x:v>
      </x:c>
      <x:c r="N7" s="163" t="str">
        <x:v>https://investors.southwest.com/sec-filings/all-sec-filings/content/0000092380-26-000004/luv-20251231.htm</x:v>
      </x:c>
      <x:c r="O7" s="163" t="str">
        <x:v>134.110 millones en 2025 frente a 140.023 millones en 2024; meta propuesta cercana al nivel anterior.</x:v>
      </x:c>
    </x:row>
    <x:row r="8">
      <x:c r="A8" s="161" t="str">
        <x:v>SW-07</x:v>
      </x:c>
      <x:c r="B8" s="161" t="str">
        <x:v>Financiera</x:v>
      </x:c>
      <x:c r="C8" s="161" t="str">
        <x:v>OBJ-F3: Controlar costos unitarios y combustible</x:v>
      </x:c>
      <x:c r="D8" s="161" t="str">
        <x:v>Gastos operativos por ASM</x:v>
      </x:c>
      <x:c r="E8" s="161" t="str">
        <x:v>Menor es mejor</x:v>
      </x:c>
      <x:c r="F8" s="161" t="str">
        <x:v>centavos</x:v>
      </x:c>
      <x:c r="G8" s="161" t="str">
        <x:v>2025 anual</x:v>
      </x:c>
      <x:c r="H8" s="162" t="n">
        <x:v>15</x:v>
      </x:c>
      <x:c r="I8" s="162" t="n">
        <x:v>15.35</x:v>
      </x:c>
      <x:c r="J8" s="184" t="n">
        <x:f>IF(OR(H8="",I8="",NOT(ISNUMBER(H8)),NOT(ISNUMBER(I8))),"-",IF(E8="Menor es mejor",IF(I8=0,100,H8/I8*100),IF(H8=0,"-",I8/H8*100)))</x:f>
        <x:v>97.71986970684038</x:v>
      </x:c>
      <x:c r="K8" s="163" t="str">
        <x:f>IF(OR(J8="-",NOT(ISNUMBER(J8))),"SIN DATOS",IF(J8&gt;=110,"🌟 SUPERA META",IF(J8&gt;=100,"🟢 LOGRADO",IF(J8&gt;=90,"🟡 CASI LOGRADO",IF(J8&gt;=75,"🟠 RIESGO MODERADO",IF(J8&gt;=60,"🔴 RIESGO ALTO","⛔ CRÍTICO"))))))</x:f>
        <x:v>🟡 CASI LOGRADO</x:v>
      </x:c>
      <x:c r="L8" s="163" t="str">
        <x:v>Público</x:v>
      </x:c>
      <x:c r="M8" s="163" t="str">
        <x:v>S1</x:v>
      </x:c>
      <x:c r="N8" s="163" t="str">
        <x:v>https://investors.southwest.com/sec-filings/all-sec-filings/content/0000092380-26-000004/luv-20251231.htm</x:v>
      </x:c>
      <x:c r="O8" s="163" t="str">
        <x:v>Costo operativo unitario reportado; meta propuesta.</x:v>
      </x:c>
    </x:row>
    <x:row r="9">
      <x:c r="A9" s="161" t="str">
        <x:v>SW-08</x:v>
      </x:c>
      <x:c r="B9" s="161" t="str">
        <x:v>Financiera</x:v>
      </x:c>
      <x:c r="C9" s="161" t="str">
        <x:v>OBJ-F3: Controlar costos unitarios y combustible</x:v>
      </x:c>
      <x:c r="D9" s="161" t="str">
        <x:v>Gastos por ASM sin combustible</x:v>
      </x:c>
      <x:c r="E9" s="161" t="str">
        <x:v>Menor es mejor</x:v>
      </x:c>
      <x:c r="F9" s="161" t="str">
        <x:v>centavos</x:v>
      </x:c>
      <x:c r="G9" s="161" t="str">
        <x:v>2025 anual</x:v>
      </x:c>
      <x:c r="H9" s="162" t="n">
        <x:v>12</x:v>
      </x:c>
      <x:c r="I9" s="162" t="n">
        <x:v>12.44</x:v>
      </x:c>
      <x:c r="J9" s="184" t="n">
        <x:f>IF(OR(H9="",I9="",NOT(ISNUMBER(H9)),NOT(ISNUMBER(I9))),"-",IF(E9="Menor es mejor",IF(I9=0,100,H9/I9*100),IF(H9=0,"-",I9/H9*100)))</x:f>
        <x:v>96.46302250803859</x:v>
      </x:c>
      <x:c r="K9" s="163" t="str">
        <x:f>IF(OR(J9="-",NOT(ISNUMBER(J9))),"SIN DATOS",IF(J9&gt;=110,"🌟 SUPERA META",IF(J9&gt;=100,"🟢 LOGRADO",IF(J9&gt;=90,"🟡 CASI LOGRADO",IF(J9&gt;=75,"🟠 RIESGO MODERADO",IF(J9&gt;=60,"🔴 RIESGO ALTO","⛔ CRÍTICO"))))))</x:f>
        <x:v>🟡 CASI LOGRADO</x:v>
      </x:c>
      <x:c r="L9" s="163" t="str">
        <x:v>Público</x:v>
      </x:c>
      <x:c r="M9" s="163" t="str">
        <x:v>S1</x:v>
      </x:c>
      <x:c r="N9" s="163" t="str">
        <x:v>https://investors.southwest.com/sec-filings/all-sec-filings/content/0000092380-26-000004/luv-20251231.htm</x:v>
      </x:c>
      <x:c r="O9" s="163" t="str">
        <x:v>Costo unitario reportado; meta propuesta.</x:v>
      </x:c>
    </x:row>
    <x:row r="10">
      <x:c r="A10" s="161" t="str">
        <x:v>SW-09</x:v>
      </x:c>
      <x:c r="B10" s="161" t="str">
        <x:v>Financiera</x:v>
      </x:c>
      <x:c r="C10" s="161" t="str">
        <x:v>OBJ-F3: Controlar costos unitarios y combustible</x:v>
      </x:c>
      <x:c r="D10" s="161" t="str">
        <x:v>Combustible por 1,000 ASM</x:v>
      </x:c>
      <x:c r="E10" s="161" t="str">
        <x:v>Menor es mejor</x:v>
      </x:c>
      <x:c r="F10" s="161" t="str">
        <x:v>galones</x:v>
      </x:c>
      <x:c r="G10" s="161" t="str">
        <x:v>2025 anual</x:v>
      </x:c>
      <x:c r="H10" s="162" t="n">
        <x:v>11.8</x:v>
      </x:c>
      <x:c r="I10" s="162" t="n">
        <x:v>12.05</x:v>
      </x:c>
      <x:c r="J10" s="184" t="n">
        <x:f>IF(OR(H10="",I10="",NOT(ISNUMBER(H10)),NOT(ISNUMBER(I10))),"-",IF(E10="Menor es mejor",IF(I10=0,100,H10/I10*100),IF(H10=0,"-",I10/H10*100)))</x:f>
        <x:v>97.9253112033195</x:v>
      </x:c>
      <x:c r="K10" s="163" t="str">
        <x:f>IF(OR(J10="-",NOT(ISNUMBER(J10))),"SIN DATOS",IF(J10&gt;=110,"🌟 SUPERA META",IF(J10&gt;=100,"🟢 LOGRADO",IF(J10&gt;=90,"🟡 CASI LOGRADO",IF(J10&gt;=75,"🟠 RIESGO MODERADO",IF(J10&gt;=60,"🔴 RIESGO ALTO","⛔ CRÍTICO"))))))</x:f>
        <x:v>🟡 CASI LOGRADO</x:v>
      </x:c>
      <x:c r="L10" s="163" t="str">
        <x:v>Calculado público</x:v>
      </x:c>
      <x:c r="M10" s="163" t="str">
        <x:v>S1</x:v>
      </x:c>
      <x:c r="N10" s="163" t="str">
        <x:v>https://investors.southwest.com/sec-filings/all-sec-filings/content/0000092380-26-000004/luv-20251231.htm</x:v>
      </x:c>
      <x:c r="O10" s="163" t="str">
        <x:v>Calculado como 2,169 millones de galones / 180,046 millones de ASM × 1,000; meta propuesta.</x:v>
      </x:c>
    </x:row>
    <x:row r="11">
      <x:c r="A11" s="161" t="str">
        <x:v>SW-10</x:v>
      </x:c>
      <x:c r="B11" s="161" t="str">
        <x:v>Clientes</x:v>
      </x:c>
      <x:c r="C11" s="161" t="str">
        <x:v>OBJ-C1: Ofrecer una experiencia confiable y satisfactoria</x:v>
      </x:c>
      <x:c r="D11" s="161" t="str">
        <x:v>NPS de pasajeros</x:v>
      </x:c>
      <x:c r="E11" s="161" t="str">
        <x:v>Mayor es mejor</x:v>
      </x:c>
      <x:c r="F11" s="161" t="str">
        <x:v>puntos</x:v>
      </x:c>
      <x:c r="G11" s="161" t="str">
        <x:v>2025 ilustrativo</x:v>
      </x:c>
      <x:c r="H11" s="162" t="n">
        <x:v>60</x:v>
      </x:c>
      <x:c r="I11" s="162" t="n">
        <x:v>52</x:v>
      </x:c>
      <x:c r="J11" s="184" t="n">
        <x:f>IF(OR(H11="",I11="",NOT(ISNUMBER(H11)),NOT(ISNUMBER(I11))),"-",IF(E11="Menor es mejor",IF(I11=0,100,H11/I11*100),IF(H11=0,"-",I11/H11*100)))</x:f>
        <x:v>86.66666666666667</x:v>
      </x:c>
      <x:c r="K11" s="163" t="str">
        <x:f>IF(OR(J11="-",NOT(ISNUMBER(J11))),"SIN DATOS",IF(J11&gt;=110,"🌟 SUPERA META",IF(J11&gt;=100,"🟢 LOGRADO",IF(J11&gt;=90,"🟡 CASI LOGRADO",IF(J11&gt;=75,"🟠 RIESGO MODERADO",IF(J11&gt;=60,"🔴 RIESGO ALTO","⛔ CRÍTICO"))))))</x:f>
        <x:v>🟠 RIESGO MODERADO</x:v>
      </x:c>
      <x:c r="L11" s="164" t="str">
        <x:v>Ficticio</x:v>
      </x:c>
      <x:c r="M11" s="164" t="str">
        <x:v>F0</x:v>
      </x:c>
      <x:c r="N11" s="164" t="str">
        <x:v>—</x:v>
      </x:c>
      <x:c r="O11" s="164" t="str">
        <x:v>Estimación ficticia para fines académicos; no es un dato oficial de Southwest.</x:v>
      </x:c>
    </x:row>
    <x:row r="12">
      <x:c r="A12" s="161" t="str">
        <x:v>SW-11</x:v>
      </x:c>
      <x:c r="B12" s="161" t="str">
        <x:v>Clientes</x:v>
      </x:c>
      <x:c r="C12" s="161" t="str">
        <x:v>OBJ-C1: Ofrecer una experiencia confiable y satisfactoria</x:v>
      </x:c>
      <x:c r="D12" s="161" t="str">
        <x:v>CSAT post-vuelo</x:v>
      </x:c>
      <x:c r="E12" s="161" t="str">
        <x:v>Mayor es mejor</x:v>
      </x:c>
      <x:c r="F12" s="161" t="str">
        <x:v>%</x:v>
      </x:c>
      <x:c r="G12" s="161" t="str">
        <x:v>2025 ilustrativo</x:v>
      </x:c>
      <x:c r="H12" s="162" t="n">
        <x:v>90</x:v>
      </x:c>
      <x:c r="I12" s="162" t="n">
        <x:v>86</x:v>
      </x:c>
      <x:c r="J12" s="184" t="n">
        <x:f>IF(OR(H12="",I12="",NOT(ISNUMBER(H12)),NOT(ISNUMBER(I12))),"-",IF(E12="Menor es mejor",IF(I12=0,100,H12/I12*100),IF(H12=0,"-",I12/H12*100)))</x:f>
        <x:v>95.55555555555556</x:v>
      </x:c>
      <x:c r="K12" s="163" t="str">
        <x:f>IF(OR(J12="-",NOT(ISNUMBER(J12))),"SIN DATOS",IF(J12&gt;=110,"🌟 SUPERA META",IF(J12&gt;=100,"🟢 LOGRADO",IF(J12&gt;=90,"🟡 CASI LOGRADO",IF(J12&gt;=75,"🟠 RIESGO MODERADO",IF(J12&gt;=60,"🔴 RIESGO ALTO","⛔ CRÍTICO"))))))</x:f>
        <x:v>🟡 CASI LOGRADO</x:v>
      </x:c>
      <x:c r="L12" s="164" t="str">
        <x:v>Ficticio</x:v>
      </x:c>
      <x:c r="M12" s="164" t="str">
        <x:v>F0</x:v>
      </x:c>
      <x:c r="N12" s="164" t="str">
        <x:v>—</x:v>
      </x:c>
      <x:c r="O12" s="164" t="str">
        <x:v>Estimación ficticia para fines académicos; no es un dato oficial de Southwest.</x:v>
      </x:c>
    </x:row>
    <x:row r="13">
      <x:c r="A13" s="161" t="str">
        <x:v>SW-12</x:v>
      </x:c>
      <x:c r="B13" s="161" t="str">
        <x:v>Clientes</x:v>
      </x:c>
      <x:c r="C13" s="161" t="str">
        <x:v>OBJ-C1: Ofrecer una experiencia confiable y satisfactoria</x:v>
      </x:c>
      <x:c r="D13" s="161" t="str">
        <x:v>Ranking de aerolíneas en EE. UU. (WSJ)</x:v>
      </x:c>
      <x:c r="E13" s="161" t="str">
        <x:v>Menor es mejor</x:v>
      </x:c>
      <x:c r="F13" s="161" t="str">
        <x:v>posición</x:v>
      </x:c>
      <x:c r="G13" s="161" t="str">
        <x:v>2025 anual</x:v>
      </x:c>
      <x:c r="H13" s="162" t="n">
        <x:v>1</x:v>
      </x:c>
      <x:c r="I13" s="162" t="n">
        <x:v>1</x:v>
      </x:c>
      <x:c r="J13" s="184" t="n">
        <x:f>IF(OR(H13="",I13="",NOT(ISNUMBER(H13)),NOT(ISNUMBER(I13))),"-",IF(E13="Menor es mejor",IF(I13=0,100,H13/I13*100),IF(H13=0,"-",I13/H13*100)))</x:f>
        <x:v>100</x:v>
      </x:c>
      <x:c r="K13" s="163" t="str">
        <x:f>IF(OR(J13="-",NOT(ISNUMBER(J13))),"SIN DATOS",IF(J13&gt;=110,"🌟 SUPERA META",IF(J13&gt;=100,"🟢 LOGRADO",IF(J13&gt;=90,"🟡 CASI LOGRADO",IF(J13&gt;=75,"🟠 RIESGO MODERADO",IF(J13&gt;=60,"🔴 RIESGO ALTO","⛔ CRÍTICO"))))))</x:f>
        <x:v>🟢 LOGRADO</x:v>
      </x:c>
      <x:c r="L13" s="163" t="str">
        <x:v>Público</x:v>
      </x:c>
      <x:c r="M13" s="163" t="str">
        <x:v>S3</x:v>
      </x:c>
      <x:c r="N13" s="163" t="str">
        <x:v>https://investors.southwest.com/news-events/press-releases/detail/1914/southwest-airlines-reports-fourth-quarter-and-full-year-2025-results-expects-strong-2026-financial-performance-from-business-transformation</x:v>
      </x:c>
      <x:c r="O13" s="163" t="str">
        <x:v>Southwest fue clasificada #1 en “Best U.S. Airlines of 2025”; posición 1 es mejor. Meta propuesta.</x:v>
      </x:c>
    </x:row>
    <x:row r="14">
      <x:c r="A14" s="161" t="str">
        <x:v>SW-13</x:v>
      </x:c>
      <x:c r="B14" s="161" t="str">
        <x:v>Clientes</x:v>
      </x:c>
      <x:c r="C14" s="161" t="str">
        <x:v>OBJ-C2: Fortalecer lealtad y recompra</x:v>
      </x:c>
      <x:c r="D14" s="161" t="str">
        <x:v>Tasa de recompra de pasajeros</x:v>
      </x:c>
      <x:c r="E14" s="161" t="str">
        <x:v>Mayor es mejor</x:v>
      </x:c>
      <x:c r="F14" s="161" t="str">
        <x:v>%</x:v>
      </x:c>
      <x:c r="G14" s="161" t="str">
        <x:v>2025 ilustrativo</x:v>
      </x:c>
      <x:c r="H14" s="162" t="n">
        <x:v>82</x:v>
      </x:c>
      <x:c r="I14" s="162" t="n">
        <x:v>78</x:v>
      </x:c>
      <x:c r="J14" s="184" t="n">
        <x:f>IF(OR(H14="",I14="",NOT(ISNUMBER(H14)),NOT(ISNUMBER(I14))),"-",IF(E14="Menor es mejor",IF(I14=0,100,H14/I14*100),IF(H14=0,"-",I14/H14*100)))</x:f>
        <x:v>95.1219512195122</x:v>
      </x:c>
      <x:c r="K14" s="163" t="str">
        <x:f>IF(OR(J14="-",NOT(ISNUMBER(J14))),"SIN DATOS",IF(J14&gt;=110,"🌟 SUPERA META",IF(J14&gt;=100,"🟢 LOGRADO",IF(J14&gt;=90,"🟡 CASI LOGRADO",IF(J14&gt;=75,"🟠 RIESGO MODERADO",IF(J14&gt;=60,"🔴 RIESGO ALTO","⛔ CRÍTICO"))))))</x:f>
        <x:v>🟡 CASI LOGRADO</x:v>
      </x:c>
      <x:c r="L14" s="164" t="str">
        <x:v>Ficticio</x:v>
      </x:c>
      <x:c r="M14" s="164" t="str">
        <x:v>F0</x:v>
      </x:c>
      <x:c r="N14" s="164" t="str">
        <x:v>—</x:v>
      </x:c>
      <x:c r="O14" s="164" t="str">
        <x:v>Estimación ficticia para fines académicos; no es un dato oficial de Southwest.</x:v>
      </x:c>
    </x:row>
    <x:row r="15">
      <x:c r="A15" s="161" t="str">
        <x:v>SW-14</x:v>
      </x:c>
      <x:c r="B15" s="161" t="str">
        <x:v>Clientes</x:v>
      </x:c>
      <x:c r="C15" s="161" t="str">
        <x:v>OBJ-C2: Fortalecer lealtad y recompra</x:v>
      </x:c>
      <x:c r="D15" s="161" t="str">
        <x:v>Retención de miembros Rapid Rewards</x:v>
      </x:c>
      <x:c r="E15" s="161" t="str">
        <x:v>Mayor es mejor</x:v>
      </x:c>
      <x:c r="F15" s="161" t="str">
        <x:v>%</x:v>
      </x:c>
      <x:c r="G15" s="161" t="str">
        <x:v>2025 ilustrativo</x:v>
      </x:c>
      <x:c r="H15" s="162" t="n">
        <x:v>88</x:v>
      </x:c>
      <x:c r="I15" s="162" t="n">
        <x:v>84</x:v>
      </x:c>
      <x:c r="J15" s="184" t="n">
        <x:f>IF(OR(H15="",I15="",NOT(ISNUMBER(H15)),NOT(ISNUMBER(I15))),"-",IF(E15="Menor es mejor",IF(I15=0,100,H15/I15*100),IF(H15=0,"-",I15/H15*100)))</x:f>
        <x:v>95.45454545454545</x:v>
      </x:c>
      <x:c r="K15" s="163" t="str">
        <x:f>IF(OR(J15="-",NOT(ISNUMBER(J15))),"SIN DATOS",IF(J15&gt;=110,"🌟 SUPERA META",IF(J15&gt;=100,"🟢 LOGRADO",IF(J15&gt;=90,"🟡 CASI LOGRADO",IF(J15&gt;=75,"🟠 RIESGO MODERADO",IF(J15&gt;=60,"🔴 RIESGO ALTO","⛔ CRÍTICO"))))))</x:f>
        <x:v>🟡 CASI LOGRADO</x:v>
      </x:c>
      <x:c r="L15" s="164" t="str">
        <x:v>Ficticio</x:v>
      </x:c>
      <x:c r="M15" s="164" t="str">
        <x:v>F0</x:v>
      </x:c>
      <x:c r="N15" s="164" t="str">
        <x:v>—</x:v>
      </x:c>
      <x:c r="O15" s="164" t="str">
        <x:v>Estimación ficticia para fines académicos; no es un dato oficial de Southwest.</x:v>
      </x:c>
    </x:row>
    <x:row r="16">
      <x:c r="A16" s="161" t="str">
        <x:v>SW-15</x:v>
      </x:c>
      <x:c r="B16" s="161" t="str">
        <x:v>Clientes</x:v>
      </x:c>
      <x:c r="C16" s="161" t="str">
        <x:v>OBJ-C2: Fortalecer lealtad y recompra</x:v>
      </x:c>
      <x:c r="D16" s="161" t="str">
        <x:v>Equipaje mal manejado por cada 100 piezas</x:v>
      </x:c>
      <x:c r="E16" s="161" t="str">
        <x:v>Menor es mejor</x:v>
      </x:c>
      <x:c r="F16" s="161" t="str">
        <x:v>por 100</x:v>
      </x:c>
      <x:c r="G16" s="161" t="str">
        <x:v>Octubre 2025</x:v>
      </x:c>
      <x:c r="H16" s="162" t="n">
        <x:v>0.28</x:v>
      </x:c>
      <x:c r="I16" s="162" t="n">
        <x:v>0.3</x:v>
      </x:c>
      <x:c r="J16" s="184" t="n">
        <x:f>IF(OR(H16="",I16="",NOT(ISNUMBER(H16)),NOT(ISNUMBER(I16))),"-",IF(E16="Menor es mejor",IF(I16=0,100,H16/I16*100),IF(H16=0,"-",I16/H16*100)))</x:f>
        <x:v>93.33333333333334</x:v>
      </x:c>
      <x:c r="K16" s="163" t="str">
        <x:f>IF(OR(J16="-",NOT(ISNUMBER(J16))),"SIN DATOS",IF(J16&gt;=110,"🌟 SUPERA META",IF(J16&gt;=100,"🟢 LOGRADO",IF(J16&gt;=90,"🟡 CASI LOGRADO",IF(J16&gt;=75,"🟠 RIESGO MODERADO",IF(J16&gt;=60,"🔴 RIESGO ALTO","⛔ CRÍTICO"))))))</x:f>
        <x:v>🟡 CASI LOGRADO</x:v>
      </x:c>
      <x:c r="L16" s="163" t="str">
        <x:v>Público DOT</x:v>
      </x:c>
      <x:c r="M16" s="163" t="str">
        <x:v>S2</x:v>
      </x:c>
      <x:c r="N16" s="163" t="str">
        <x:v>https://www.transportation.gov/sites/dot.gov/files/2026-01/December%202025%20ATCR.pdf</x:v>
      </x:c>
      <x:c r="O16" s="163" t="str">
        <x:v>0.30 por cada 100 piezas en octubre de 2025; meta propuesta.</x:v>
      </x:c>
    </x:row>
    <x:row r="17">
      <x:c r="A17" s="161" t="str">
        <x:v>SW-16</x:v>
      </x:c>
      <x:c r="B17" s="161" t="str">
        <x:v>Clientes</x:v>
      </x:c>
      <x:c r="C17" s="161" t="str">
        <x:v>OBJ-C3: Ampliar la base y el acceso de clientes</x:v>
      </x:c>
      <x:c r="D17" s="161" t="str">
        <x:v>Nuevos miembros de Rapid Rewards</x:v>
      </x:c>
      <x:c r="E17" s="161" t="str">
        <x:v>Mayor es mejor</x:v>
      </x:c>
      <x:c r="F17" s="161" t="str">
        <x:v>millones</x:v>
      </x:c>
      <x:c r="G17" s="161" t="str">
        <x:v>2025 ilustrativo</x:v>
      </x:c>
      <x:c r="H17" s="162" t="n">
        <x:v>13.5</x:v>
      </x:c>
      <x:c r="I17" s="162" t="n">
        <x:v>12</x:v>
      </x:c>
      <x:c r="J17" s="184" t="n">
        <x:f>IF(OR(H17="",I17="",NOT(ISNUMBER(H17)),NOT(ISNUMBER(I17))),"-",IF(E17="Menor es mejor",IF(I17=0,100,H17/I17*100),IF(H17=0,"-",I17/H17*100)))</x:f>
        <x:v>88.88888888888889</x:v>
      </x:c>
      <x:c r="K17" s="163" t="str">
        <x:f>IF(OR(J17="-",NOT(ISNUMBER(J17))),"SIN DATOS",IF(J17&gt;=110,"🌟 SUPERA META",IF(J17&gt;=100,"🟢 LOGRADO",IF(J17&gt;=90,"🟡 CASI LOGRADO",IF(J17&gt;=75,"🟠 RIESGO MODERADO",IF(J17&gt;=60,"🔴 RIESGO ALTO","⛔ CRÍTICO"))))))</x:f>
        <x:v>🟠 RIESGO MODERADO</x:v>
      </x:c>
      <x:c r="L17" s="164" t="str">
        <x:v>Ficticio</x:v>
      </x:c>
      <x:c r="M17" s="164" t="str">
        <x:v>F0</x:v>
      </x:c>
      <x:c r="N17" s="164" t="str">
        <x:v>—</x:v>
      </x:c>
      <x:c r="O17" s="164" t="str">
        <x:v>Estimación ficticia para fines académicos; no es un dato oficial de Southwest.</x:v>
      </x:c>
    </x:row>
    <x:row r="18">
      <x:c r="A18" s="161" t="str">
        <x:v>SW-17</x:v>
      </x:c>
      <x:c r="B18" s="161" t="str">
        <x:v>Clientes</x:v>
      </x:c>
      <x:c r="C18" s="161" t="str">
        <x:v>OBJ-C3: Ampliar la base y el acceso de clientes</x:v>
      </x:c>
      <x:c r="D18" s="161" t="str">
        <x:v>Participación en mercado doméstico</x:v>
      </x:c>
      <x:c r="E18" s="161" t="str">
        <x:v>Mayor es mejor</x:v>
      </x:c>
      <x:c r="F18" s="161" t="str">
        <x:v>%</x:v>
      </x:c>
      <x:c r="G18" s="161" t="str">
        <x:v>2025 ilustrativo</x:v>
      </x:c>
      <x:c r="H18" s="162" t="n">
        <x:v>17</x:v>
      </x:c>
      <x:c r="I18" s="162" t="n">
        <x:v>16.5</x:v>
      </x:c>
      <x:c r="J18" s="184" t="n">
        <x:f>IF(OR(H18="",I18="",NOT(ISNUMBER(H18)),NOT(ISNUMBER(I18))),"-",IF(E18="Menor es mejor",IF(I18=0,100,H18/I18*100),IF(H18=0,"-",I18/H18*100)))</x:f>
        <x:v>97.05882352941177</x:v>
      </x:c>
      <x:c r="K18" s="163" t="str">
        <x:f>IF(OR(J18="-",NOT(ISNUMBER(J18))),"SIN DATOS",IF(J18&gt;=110,"🌟 SUPERA META",IF(J18&gt;=100,"🟢 LOGRADO",IF(J18&gt;=90,"🟡 CASI LOGRADO",IF(J18&gt;=75,"🟠 RIESGO MODERADO",IF(J18&gt;=60,"🔴 RIESGO ALTO","⛔ CRÍTICO"))))))</x:f>
        <x:v>🟡 CASI LOGRADO</x:v>
      </x:c>
      <x:c r="L18" s="164" t="str">
        <x:v>Ficticio</x:v>
      </x:c>
      <x:c r="M18" s="164" t="str">
        <x:v>F0</x:v>
      </x:c>
      <x:c r="N18" s="164" t="str">
        <x:v>—</x:v>
      </x:c>
      <x:c r="O18" s="164" t="str">
        <x:v>Estimación ficticia para fines académicos; no es un dato oficial de Southwest.</x:v>
      </x:c>
    </x:row>
    <x:row r="19">
      <x:c r="A19" s="161" t="str">
        <x:v>SW-18</x:v>
      </x:c>
      <x:c r="B19" s="161" t="str">
        <x:v>Clientes</x:v>
      </x:c>
      <x:c r="C19" s="161" t="str">
        <x:v>OBJ-C3: Ampliar la base y el acceso de clientes</x:v>
      </x:c>
      <x:c r="D19" s="161" t="str">
        <x:v>Reservas digitales / total de reservas</x:v>
      </x:c>
      <x:c r="E19" s="161" t="str">
        <x:v>Mayor es mejor</x:v>
      </x:c>
      <x:c r="F19" s="161" t="str">
        <x:v>%</x:v>
      </x:c>
      <x:c r="G19" s="161" t="str">
        <x:v>2025 ilustrativo</x:v>
      </x:c>
      <x:c r="H19" s="162" t="n">
        <x:v>88</x:v>
      </x:c>
      <x:c r="I19" s="162" t="n">
        <x:v>82</x:v>
      </x:c>
      <x:c r="J19" s="184" t="n">
        <x:f>IF(OR(H19="",I19="",NOT(ISNUMBER(H19)),NOT(ISNUMBER(I19))),"-",IF(E19="Menor es mejor",IF(I19=0,100,H19/I19*100),IF(H19=0,"-",I19/H19*100)))</x:f>
        <x:v>93.18181818181817</x:v>
      </x:c>
      <x:c r="K19" s="163" t="str">
        <x:f>IF(OR(J19="-",NOT(ISNUMBER(J19))),"SIN DATOS",IF(J19&gt;=110,"🌟 SUPERA META",IF(J19&gt;=100,"🟢 LOGRADO",IF(J19&gt;=90,"🟡 CASI LOGRADO",IF(J19&gt;=75,"🟠 RIESGO MODERADO",IF(J19&gt;=60,"🔴 RIESGO ALTO","⛔ CRÍTICO"))))))</x:f>
        <x:v>🟡 CASI LOGRADO</x:v>
      </x:c>
      <x:c r="L19" s="164" t="str">
        <x:v>Ficticio</x:v>
      </x:c>
      <x:c r="M19" s="164" t="str">
        <x:v>F0</x:v>
      </x:c>
      <x:c r="N19" s="164" t="str">
        <x:v>—</x:v>
      </x:c>
      <x:c r="O19" s="164" t="str">
        <x:v>Estimación ficticia para fines académicos; no es un dato oficial de Southwest.</x:v>
      </x:c>
    </x:row>
    <x:row r="20">
      <x:c r="A20" s="161" t="str">
        <x:v>SW-19</x:v>
      </x:c>
      <x:c r="B20" s="161" t="str">
        <x:v>Procesos internos</x:v>
      </x:c>
      <x:c r="C20" s="161" t="str">
        <x:v>OBJ-P1: Mejorar puntualidad, finalización y accesibilidad</x:v>
      </x:c>
      <x:c r="D20" s="161" t="str">
        <x:v>Llegadas puntuales</x:v>
      </x:c>
      <x:c r="E20" s="161" t="str">
        <x:v>Mayor es mejor</x:v>
      </x:c>
      <x:c r="F20" s="161" t="str">
        <x:v>%</x:v>
      </x:c>
      <x:c r="G20" s="161" t="str">
        <x:v>Octubre 2025</x:v>
      </x:c>
      <x:c r="H20" s="162" t="n">
        <x:v>82</x:v>
      </x:c>
      <x:c r="I20" s="162" t="n">
        <x:v>77.1</x:v>
      </x:c>
      <x:c r="J20" s="184" t="n">
        <x:f>IF(OR(H20="",I20="",NOT(ISNUMBER(H20)),NOT(ISNUMBER(I20))),"-",IF(E20="Menor es mejor",IF(I20=0,100,H20/I20*100),IF(H20=0,"-",I20/H20*100)))</x:f>
        <x:v>94.02439024390243</x:v>
      </x:c>
      <x:c r="K20" s="163" t="str">
        <x:f>IF(OR(J20="-",NOT(ISNUMBER(J20))),"SIN DATOS",IF(J20&gt;=110,"🌟 SUPERA META",IF(J20&gt;=100,"🟢 LOGRADO",IF(J20&gt;=90,"🟡 CASI LOGRADO",IF(J20&gt;=75,"🟠 RIESGO MODERADO",IF(J20&gt;=60,"🔴 RIESGO ALTO","⛔ CRÍTICO"))))))</x:f>
        <x:v>🟡 CASI LOGRADO</x:v>
      </x:c>
      <x:c r="L20" s="163" t="str">
        <x:v>Público DOT</x:v>
      </x:c>
      <x:c r="M20" s="163" t="str">
        <x:v>S2</x:v>
      </x:c>
      <x:c r="N20" s="163" t="str">
        <x:v>https://www.transportation.gov/sites/dot.gov/files/2026-01/December%202025%20ATCR.pdf</x:v>
      </x:c>
      <x:c r="O20" s="163" t="str">
        <x:v>Southwest: 77.1% llegadas puntuales en octubre 2025; meta propuesta.</x:v>
      </x:c>
    </x:row>
    <x:row r="21">
      <x:c r="A21" s="161" t="str">
        <x:v>SW-20</x:v>
      </x:c>
      <x:c r="B21" s="161" t="str">
        <x:v>Procesos internos</x:v>
      </x:c>
      <x:c r="C21" s="161" t="str">
        <x:v>OBJ-P1: Mejorar puntualidad, finalización y accesibilidad</x:v>
      </x:c>
      <x:c r="D21" s="161" t="str">
        <x:v>Vuelos cancelados</x:v>
      </x:c>
      <x:c r="E21" s="161" t="str">
        <x:v>Menor es mejor</x:v>
      </x:c>
      <x:c r="F21" s="161" t="str">
        <x:v>%</x:v>
      </x:c>
      <x:c r="G21" s="161" t="str">
        <x:v>Octubre 2025</x:v>
      </x:c>
      <x:c r="H21" s="162" t="n">
        <x:v>0.2</x:v>
      </x:c>
      <x:c r="I21" s="162" t="n">
        <x:v>0.3</x:v>
      </x:c>
      <x:c r="J21" s="184" t="n">
        <x:f>IF(OR(H21="",I21="",NOT(ISNUMBER(H21)),NOT(ISNUMBER(I21))),"-",IF(E21="Menor es mejor",IF(I21=0,100,H21/I21*100),IF(H21=0,"-",I21/H21*100)))</x:f>
        <x:v>66.66666666666667</x:v>
      </x:c>
      <x:c r="K21" s="163" t="str">
        <x:f>IF(OR(J21="-",NOT(ISNUMBER(J21))),"SIN DATOS",IF(J21&gt;=110,"🌟 SUPERA META",IF(J21&gt;=100,"🟢 LOGRADO",IF(J21&gt;=90,"🟡 CASI LOGRADO",IF(J21&gt;=75,"🟠 RIESGO MODERADO",IF(J21&gt;=60,"🔴 RIESGO ALTO","⛔ CRÍTICO"))))))</x:f>
        <x:v>🔴 RIESGO ALTO</x:v>
      </x:c>
      <x:c r="L21" s="163" t="str">
        <x:v>Público DOT</x:v>
      </x:c>
      <x:c r="M21" s="163" t="str">
        <x:v>S2</x:v>
      </x:c>
      <x:c r="N21" s="163" t="str">
        <x:v>https://www.transportation.gov/sites/dot.gov/files/2026-01/December%202025%20ATCR.pdf</x:v>
      </x:c>
      <x:c r="O21" s="163" t="str">
        <x:v>0.3% de operaciones canceladas en octubre 2025; meta propuesta.</x:v>
      </x:c>
    </x:row>
    <x:row r="22">
      <x:c r="A22" s="161" t="str">
        <x:v>SW-21</x:v>
      </x:c>
      <x:c r="B22" s="161" t="str">
        <x:v>Procesos internos</x:v>
      </x:c>
      <x:c r="C22" s="161" t="str">
        <x:v>OBJ-P1: Mejorar puntualidad, finalización y accesibilidad</x:v>
      </x:c>
      <x:c r="D22" s="161" t="str">
        <x:v>Sillas de ruedas/scooters mal manejados por cada 100</x:v>
      </x:c>
      <x:c r="E22" s="161" t="str">
        <x:v>Menor es mejor</x:v>
      </x:c>
      <x:c r="F22" s="161" t="str">
        <x:v>por 100</x:v>
      </x:c>
      <x:c r="G22" s="161" t="str">
        <x:v>Octubre 2025</x:v>
      </x:c>
      <x:c r="H22" s="162" t="n">
        <x:v>0.8</x:v>
      </x:c>
      <x:c r="I22" s="162" t="n">
        <x:v>0.99</x:v>
      </x:c>
      <x:c r="J22" s="184" t="n">
        <x:f>IF(OR(H22="",I22="",NOT(ISNUMBER(H22)),NOT(ISNUMBER(I22))),"-",IF(E22="Menor es mejor",IF(I22=0,100,H22/I22*100),IF(H22=0,"-",I22/H22*100)))</x:f>
        <x:v>80.80808080808082</x:v>
      </x:c>
      <x:c r="K22" s="163" t="str">
        <x:f>IF(OR(J22="-",NOT(ISNUMBER(J22))),"SIN DATOS",IF(J22&gt;=110,"🌟 SUPERA META",IF(J22&gt;=100,"🟢 LOGRADO",IF(J22&gt;=90,"🟡 CASI LOGRADO",IF(J22&gt;=75,"🟠 RIESGO MODERADO",IF(J22&gt;=60,"🔴 RIESGO ALTO","⛔ CRÍTICO"))))))</x:f>
        <x:v>🟠 RIESGO MODERADO</x:v>
      </x:c>
      <x:c r="L22" s="163" t="str">
        <x:v>Público DOT</x:v>
      </x:c>
      <x:c r="M22" s="163" t="str">
        <x:v>S2</x:v>
      </x:c>
      <x:c r="N22" s="163" t="str">
        <x:v>https://www.transportation.gov/sites/dot.gov/files/2026-01/December%202025%20ATCR.pdf</x:v>
      </x:c>
      <x:c r="O22" s="163" t="str">
        <x:v>0.99 por cada 100 ayudas de movilidad embarcadas en octubre 2025; meta propuesta.</x:v>
      </x:c>
    </x:row>
    <x:row r="23">
      <x:c r="A23" s="161" t="str">
        <x:v>SW-22</x:v>
      </x:c>
      <x:c r="B23" s="161" t="str">
        <x:v>Procesos internos</x:v>
      </x:c>
      <x:c r="C23" s="161" t="str">
        <x:v>OBJ-P2: Aumentar productividad de flota y tecnología</x:v>
      </x:c>
      <x:c r="D23" s="161" t="str">
        <x:v>Tiempo de escala promedio</x:v>
      </x:c>
      <x:c r="E23" s="161" t="str">
        <x:v>Menor es mejor</x:v>
      </x:c>
      <x:c r="F23" s="161" t="str">
        <x:v>minutos</x:v>
      </x:c>
      <x:c r="G23" s="161" t="str">
        <x:v>2025 ilustrativo</x:v>
      </x:c>
      <x:c r="H23" s="162" t="n">
        <x:v>30</x:v>
      </x:c>
      <x:c r="I23" s="162" t="n">
        <x:v>34</x:v>
      </x:c>
      <x:c r="J23" s="184" t="n">
        <x:f>IF(OR(H23="",I23="",NOT(ISNUMBER(H23)),NOT(ISNUMBER(I23))),"-",IF(E23="Menor es mejor",IF(I23=0,100,H23/I23*100),IF(H23=0,"-",I23/H23*100)))</x:f>
        <x:v>88.23529411764706</x:v>
      </x:c>
      <x:c r="K23" s="163" t="str">
        <x:f>IF(OR(J23="-",NOT(ISNUMBER(J23))),"SIN DATOS",IF(J23&gt;=110,"🌟 SUPERA META",IF(J23&gt;=100,"🟢 LOGRADO",IF(J23&gt;=90,"🟡 CASI LOGRADO",IF(J23&gt;=75,"🟠 RIESGO MODERADO",IF(J23&gt;=60,"🔴 RIESGO ALTO","⛔ CRÍTICO"))))))</x:f>
        <x:v>🟠 RIESGO MODERADO</x:v>
      </x:c>
      <x:c r="L23" s="164" t="str">
        <x:v>Ficticio</x:v>
      </x:c>
      <x:c r="M23" s="164" t="str">
        <x:v>F0</x:v>
      </x:c>
      <x:c r="N23" s="164" t="str">
        <x:v>—</x:v>
      </x:c>
      <x:c r="O23" s="164" t="str">
        <x:v>Estimación ficticia para fines académicos; no es un dato oficial de Southwest.</x:v>
      </x:c>
    </x:row>
    <x:row r="24">
      <x:c r="A24" s="161" t="str">
        <x:v>SW-23</x:v>
      </x:c>
      <x:c r="B24" s="161" t="str">
        <x:v>Procesos internos</x:v>
      </x:c>
      <x:c r="C24" s="161" t="str">
        <x:v>OBJ-P2: Aumentar productividad de flota y tecnología</x:v>
      </x:c>
      <x:c r="D24" s="161" t="str">
        <x:v>Utilización diaria de aeronave</x:v>
      </x:c>
      <x:c r="E24" s="161" t="str">
        <x:v>Mayor es mejor</x:v>
      </x:c>
      <x:c r="F24" s="161" t="str">
        <x:v>horas/día</x:v>
      </x:c>
      <x:c r="G24" s="161" t="str">
        <x:v>2025 ilustrativo</x:v>
      </x:c>
      <x:c r="H24" s="162" t="n">
        <x:v>11</x:v>
      </x:c>
      <x:c r="I24" s="162" t="n">
        <x:v>10.3</x:v>
      </x:c>
      <x:c r="J24" s="184" t="n">
        <x:f>IF(OR(H24="",I24="",NOT(ISNUMBER(H24)),NOT(ISNUMBER(I24))),"-",IF(E24="Menor es mejor",IF(I24=0,100,H24/I24*100),IF(H24=0,"-",I24/H24*100)))</x:f>
        <x:v>93.63636363636364</x:v>
      </x:c>
      <x:c r="K24" s="163" t="str">
        <x:f>IF(OR(J24="-",NOT(ISNUMBER(J24))),"SIN DATOS",IF(J24&gt;=110,"🌟 SUPERA META",IF(J24&gt;=100,"🟢 LOGRADO",IF(J24&gt;=90,"🟡 CASI LOGRADO",IF(J24&gt;=75,"🟠 RIESGO MODERADO",IF(J24&gt;=60,"🔴 RIESGO ALTO","⛔ CRÍTICO"))))))</x:f>
        <x:v>🟡 CASI LOGRADO</x:v>
      </x:c>
      <x:c r="L24" s="164" t="str">
        <x:v>Ficticio</x:v>
      </x:c>
      <x:c r="M24" s="164" t="str">
        <x:v>F0</x:v>
      </x:c>
      <x:c r="N24" s="164" t="str">
        <x:v>—</x:v>
      </x:c>
      <x:c r="O24" s="164" t="str">
        <x:v>Estimación ficticia para fines académicos; no es un dato oficial de Southwest.</x:v>
      </x:c>
    </x:row>
    <x:row r="25">
      <x:c r="A25" s="161" t="str">
        <x:v>SW-24</x:v>
      </x:c>
      <x:c r="B25" s="161" t="str">
        <x:v>Procesos internos</x:v>
      </x:c>
      <x:c r="C25" s="161" t="str">
        <x:v>OBJ-P2: Aumentar productividad de flota y tecnología</x:v>
      </x:c>
      <x:c r="D25" s="161" t="str">
        <x:v>Vuelos completados / programados</x:v>
      </x:c>
      <x:c r="E25" s="161" t="str">
        <x:v>Mayor es mejor</x:v>
      </x:c>
      <x:c r="F25" s="161" t="str">
        <x:v>%</x:v>
      </x:c>
      <x:c r="G25" s="161" t="str">
        <x:v>2025 ilustrativo</x:v>
      </x:c>
      <x:c r="H25" s="162" t="n">
        <x:v>99.5</x:v>
      </x:c>
      <x:c r="I25" s="162" t="n">
        <x:v>99.2</x:v>
      </x:c>
      <x:c r="J25" s="184" t="n">
        <x:f>IF(OR(H25="",I25="",NOT(ISNUMBER(H25)),NOT(ISNUMBER(I25))),"-",IF(E25="Menor es mejor",IF(I25=0,100,H25/I25*100),IF(H25=0,"-",I25/H25*100)))</x:f>
        <x:v>99.69849246231156</x:v>
      </x:c>
      <x:c r="K25" s="163" t="str">
        <x:f>IF(OR(J25="-",NOT(ISNUMBER(J25))),"SIN DATOS",IF(J25&gt;=110,"🌟 SUPERA META",IF(J25&gt;=100,"🟢 LOGRADO",IF(J25&gt;=90,"🟡 CASI LOGRADO",IF(J25&gt;=75,"🟠 RIESGO MODERADO",IF(J25&gt;=60,"🔴 RIESGO ALTO","⛔ CRÍTICO"))))))</x:f>
        <x:v>🟡 CASI LOGRADO</x:v>
      </x:c>
      <x:c r="L25" s="164" t="str">
        <x:v>Ficticio</x:v>
      </x:c>
      <x:c r="M25" s="164" t="str">
        <x:v>F0</x:v>
      </x:c>
      <x:c r="N25" s="164" t="str">
        <x:v>—</x:v>
      </x:c>
      <x:c r="O25" s="164" t="str">
        <x:v>Estimación ficticia para fines académicos; no es un dato oficial de Southwest.</x:v>
      </x:c>
    </x:row>
    <x:row r="26">
      <x:c r="A26" s="161" t="str">
        <x:v>SW-25</x:v>
      </x:c>
      <x:c r="B26" s="161" t="str">
        <x:v>Procesos internos</x:v>
      </x:c>
      <x:c r="C26" s="161" t="str">
        <x:v>OBJ-P3: Asegurar calidad y resiliencia de proveedores</x:v>
      </x:c>
      <x:c r="D26" s="161" t="str">
        <x:v>Entregas puntuales de proveedores críticos</x:v>
      </x:c>
      <x:c r="E26" s="161" t="str">
        <x:v>Mayor es mejor</x:v>
      </x:c>
      <x:c r="F26" s="161" t="str">
        <x:v>%</x:v>
      </x:c>
      <x:c r="G26" s="161" t="str">
        <x:v>2025 ilustrativo</x:v>
      </x:c>
      <x:c r="H26" s="162" t="n">
        <x:v>96</x:v>
      </x:c>
      <x:c r="I26" s="162" t="n">
        <x:v>92</x:v>
      </x:c>
      <x:c r="J26" s="184" t="n">
        <x:f>IF(OR(H26="",I26="",NOT(ISNUMBER(H26)),NOT(ISNUMBER(I26))),"-",IF(E26="Menor es mejor",IF(I26=0,100,H26/I26*100),IF(H26=0,"-",I26/H26*100)))</x:f>
        <x:v>95.83333333333334</x:v>
      </x:c>
      <x:c r="K26" s="163" t="str">
        <x:f>IF(OR(J26="-",NOT(ISNUMBER(J26))),"SIN DATOS",IF(J26&gt;=110,"🌟 SUPERA META",IF(J26&gt;=100,"🟢 LOGRADO",IF(J26&gt;=90,"🟡 CASI LOGRADO",IF(J26&gt;=75,"🟠 RIESGO MODERADO",IF(J26&gt;=60,"🔴 RIESGO ALTO","⛔ CRÍTICO"))))))</x:f>
        <x:v>🟡 CASI LOGRADO</x:v>
      </x:c>
      <x:c r="L26" s="164" t="str">
        <x:v>Ficticio</x:v>
      </x:c>
      <x:c r="M26" s="164" t="str">
        <x:v>F0</x:v>
      </x:c>
      <x:c r="N26" s="164" t="str">
        <x:v>—</x:v>
      </x:c>
      <x:c r="O26" s="164" t="str">
        <x:v>Estimación ficticia para fines académicos; no es un dato oficial de Southwest.</x:v>
      </x:c>
    </x:row>
    <x:row r="27">
      <x:c r="A27" s="161" t="str">
        <x:v>SW-26</x:v>
      </x:c>
      <x:c r="B27" s="161" t="str">
        <x:v>Procesos internos</x:v>
      </x:c>
      <x:c r="C27" s="161" t="str">
        <x:v>OBJ-P3: Asegurar calidad y resiliencia de proveedores</x:v>
      </x:c>
      <x:c r="D27" s="161" t="str">
        <x:v>Disponibilidad de sistemas operativos</x:v>
      </x:c>
      <x:c r="E27" s="161" t="str">
        <x:v>Mayor es mejor</x:v>
      </x:c>
      <x:c r="F27" s="161" t="str">
        <x:v>%</x:v>
      </x:c>
      <x:c r="G27" s="161" t="str">
        <x:v>2025 ilustrativo</x:v>
      </x:c>
      <x:c r="H27" s="162" t="n">
        <x:v>99.9</x:v>
      </x:c>
      <x:c r="I27" s="162" t="n">
        <x:v>99.6</x:v>
      </x:c>
      <x:c r="J27" s="184" t="n">
        <x:f>IF(OR(H27="",I27="",NOT(ISNUMBER(H27)),NOT(ISNUMBER(I27))),"-",IF(E27="Menor es mejor",IF(I27=0,100,H27/I27*100),IF(H27=0,"-",I27/H27*100)))</x:f>
        <x:v>99.69969969969968</x:v>
      </x:c>
      <x:c r="K27" s="163" t="str">
        <x:f>IF(OR(J27="-",NOT(ISNUMBER(J27))),"SIN DATOS",IF(J27&gt;=110,"🌟 SUPERA META",IF(J27&gt;=100,"🟢 LOGRADO",IF(J27&gt;=90,"🟡 CASI LOGRADO",IF(J27&gt;=75,"🟠 RIESGO MODERADO",IF(J27&gt;=60,"🔴 RIESGO ALTO","⛔ CRÍTICO"))))))</x:f>
        <x:v>🟡 CASI LOGRADO</x:v>
      </x:c>
      <x:c r="L27" s="164" t="str">
        <x:v>Ficticio</x:v>
      </x:c>
      <x:c r="M27" s="164" t="str">
        <x:v>F0</x:v>
      </x:c>
      <x:c r="N27" s="164" t="str">
        <x:v>—</x:v>
      </x:c>
      <x:c r="O27" s="164" t="str">
        <x:v>Estimación ficticia para fines académicos; no es un dato oficial de Southwest.</x:v>
      </x:c>
    </x:row>
    <x:row r="28">
      <x:c r="A28" s="161" t="str">
        <x:v>SW-27</x:v>
      </x:c>
      <x:c r="B28" s="161" t="str">
        <x:v>Procesos internos</x:v>
      </x:c>
      <x:c r="C28" s="161" t="str">
        <x:v>OBJ-P3: Asegurar calidad y resiliencia de proveedores</x:v>
      </x:c>
      <x:c r="D28" s="161" t="str">
        <x:v>Incidentes de mantenimiento no programado</x:v>
      </x:c>
      <x:c r="E28" s="161" t="str">
        <x:v>Menor es mejor</x:v>
      </x:c>
      <x:c r="F28" s="161" t="str">
        <x:v>por 1,000 vuelos</x:v>
      </x:c>
      <x:c r="G28" s="161" t="str">
        <x:v>2025 ilustrativo</x:v>
      </x:c>
      <x:c r="H28" s="162" t="n">
        <x:v>1.3</x:v>
      </x:c>
      <x:c r="I28" s="162" t="n">
        <x:v>1.6</x:v>
      </x:c>
      <x:c r="J28" s="184" t="n">
        <x:f>IF(OR(H28="",I28="",NOT(ISNUMBER(H28)),NOT(ISNUMBER(I28))),"-",IF(E28="Menor es mejor",IF(I28=0,100,H28/I28*100),IF(H28=0,"-",I28/H28*100)))</x:f>
        <x:v>81.25</x:v>
      </x:c>
      <x:c r="K28" s="163" t="str">
        <x:f>IF(OR(J28="-",NOT(ISNUMBER(J28))),"SIN DATOS",IF(J28&gt;=110,"🌟 SUPERA META",IF(J28&gt;=100,"🟢 LOGRADO",IF(J28&gt;=90,"🟡 CASI LOGRADO",IF(J28&gt;=75,"🟠 RIESGO MODERADO",IF(J28&gt;=60,"🔴 RIESGO ALTO","⛔ CRÍTICO"))))))</x:f>
        <x:v>🟠 RIESGO MODERADO</x:v>
      </x:c>
      <x:c r="L28" s="164" t="str">
        <x:v>Ficticio</x:v>
      </x:c>
      <x:c r="M28" s="164" t="str">
        <x:v>F0</x:v>
      </x:c>
      <x:c r="N28" s="164" t="str">
        <x:v>—</x:v>
      </x:c>
      <x:c r="O28" s="164" t="str">
        <x:v>Estimación ficticia para fines académicos; no es un dato oficial de Southwest.</x:v>
      </x:c>
    </x:row>
    <x:row r="29">
      <x:c r="A29" s="161" t="str">
        <x:v>SW-28</x:v>
      </x:c>
      <x:c r="B29" s="161" t="str">
        <x:v>Aprendizaje y crecimiento</x:v>
      </x:c>
      <x:c r="C29" s="161" t="str">
        <x:v>OBJ-A1: Desarrollar capacidades para el nuevo modelo</x:v>
      </x:c>
      <x:c r="D29" s="161" t="str">
        <x:v>Horas de capacitación por empleado</x:v>
      </x:c>
      <x:c r="E29" s="161" t="str">
        <x:v>Mayor es mejor</x:v>
      </x:c>
      <x:c r="F29" s="161" t="str">
        <x:v>horas</x:v>
      </x:c>
      <x:c r="G29" s="161" t="str">
        <x:v>2025 ilustrativo</x:v>
      </x:c>
      <x:c r="H29" s="162" t="n">
        <x:v>40</x:v>
      </x:c>
      <x:c r="I29" s="162" t="n">
        <x:v>32</x:v>
      </x:c>
      <x:c r="J29" s="184" t="n">
        <x:f>IF(OR(H29="",I29="",NOT(ISNUMBER(H29)),NOT(ISNUMBER(I29))),"-",IF(E29="Menor es mejor",IF(I29=0,100,H29/I29*100),IF(H29=0,"-",I29/H29*100)))</x:f>
        <x:v>80</x:v>
      </x:c>
      <x:c r="K29" s="163" t="str">
        <x:f>IF(OR(J29="-",NOT(ISNUMBER(J29))),"SIN DATOS",IF(J29&gt;=110,"🌟 SUPERA META",IF(J29&gt;=100,"🟢 LOGRADO",IF(J29&gt;=90,"🟡 CASI LOGRADO",IF(J29&gt;=75,"🟠 RIESGO MODERADO",IF(J29&gt;=60,"🔴 RIESGO ALTO","⛔ CRÍTICO"))))))</x:f>
        <x:v>🟠 RIESGO MODERADO</x:v>
      </x:c>
      <x:c r="L29" s="164" t="str">
        <x:v>Ficticio</x:v>
      </x:c>
      <x:c r="M29" s="164" t="str">
        <x:v>F0</x:v>
      </x:c>
      <x:c r="N29" s="164" t="str">
        <x:v>—</x:v>
      </x:c>
      <x:c r="O29" s="164" t="str">
        <x:v>Estimación ficticia para fines académicos; no es un dato oficial de Southwest.</x:v>
      </x:c>
    </x:row>
    <x:row r="30">
      <x:c r="A30" s="161" t="str">
        <x:v>SW-29</x:v>
      </x:c>
      <x:c r="B30" s="161" t="str">
        <x:v>Aprendizaje y crecimiento</x:v>
      </x:c>
      <x:c r="C30" s="161" t="str">
        <x:v>OBJ-A1: Desarrollar capacidades para el nuevo modelo</x:v>
      </x:c>
      <x:c r="D30" s="161" t="str">
        <x:v>Personal capacitado en cambios de producto</x:v>
      </x:c>
      <x:c r="E30" s="161" t="str">
        <x:v>Mayor es mejor</x:v>
      </x:c>
      <x:c r="F30" s="161" t="str">
        <x:v>%</x:v>
      </x:c>
      <x:c r="G30" s="161" t="str">
        <x:v>2025 ilustrativo</x:v>
      </x:c>
      <x:c r="H30" s="162" t="n">
        <x:v>95</x:v>
      </x:c>
      <x:c r="I30" s="162" t="n">
        <x:v>78</x:v>
      </x:c>
      <x:c r="J30" s="184" t="n">
        <x:f>IF(OR(H30="",I30="",NOT(ISNUMBER(H30)),NOT(ISNUMBER(I30))),"-",IF(E30="Menor es mejor",IF(I30=0,100,H30/I30*100),IF(H30=0,"-",I30/H30*100)))</x:f>
        <x:v>82.10526315789474</x:v>
      </x:c>
      <x:c r="K30" s="163" t="str">
        <x:f>IF(OR(J30="-",NOT(ISNUMBER(J30))),"SIN DATOS",IF(J30&gt;=110,"🌟 SUPERA META",IF(J30&gt;=100,"🟢 LOGRADO",IF(J30&gt;=90,"🟡 CASI LOGRADO",IF(J30&gt;=75,"🟠 RIESGO MODERADO",IF(J30&gt;=60,"🔴 RIESGO ALTO","⛔ CRÍTICO"))))))</x:f>
        <x:v>🟠 RIESGO MODERADO</x:v>
      </x:c>
      <x:c r="L30" s="164" t="str">
        <x:v>Ficticio</x:v>
      </x:c>
      <x:c r="M30" s="164" t="str">
        <x:v>F0</x:v>
      </x:c>
      <x:c r="N30" s="164" t="str">
        <x:v>—</x:v>
      </x:c>
      <x:c r="O30" s="164" t="str">
        <x:v>Estimación ficticia para fines académicos; no es un dato oficial de Southwest.</x:v>
      </x:c>
    </x:row>
    <x:row r="31">
      <x:c r="A31" s="161" t="str">
        <x:v>SW-30</x:v>
      </x:c>
      <x:c r="B31" s="161" t="str">
        <x:v>Aprendizaje y crecimiento</x:v>
      </x:c>
      <x:c r="C31" s="161" t="str">
        <x:v>OBJ-A1: Desarrollar capacidades para el nuevo modelo</x:v>
      </x:c>
      <x:c r="D31" s="161" t="str">
        <x:v>Cumplimiento de capacitación de seguridad</x:v>
      </x:c>
      <x:c r="E31" s="161" t="str">
        <x:v>Mayor es mejor</x:v>
      </x:c>
      <x:c r="F31" s="161" t="str">
        <x:v>%</x:v>
      </x:c>
      <x:c r="G31" s="161" t="str">
        <x:v>2025 ilustrativo</x:v>
      </x:c>
      <x:c r="H31" s="162" t="n">
        <x:v>100</x:v>
      </x:c>
      <x:c r="I31" s="162" t="n">
        <x:v>94</x:v>
      </x:c>
      <x:c r="J31" s="184" t="n">
        <x:f>IF(OR(H31="",I31="",NOT(ISNUMBER(H31)),NOT(ISNUMBER(I31))),"-",IF(E31="Menor es mejor",IF(I31=0,100,H31/I31*100),IF(H31=0,"-",I31/H31*100)))</x:f>
        <x:v>94</x:v>
      </x:c>
      <x:c r="K31" s="163" t="str">
        <x:f>IF(OR(J31="-",NOT(ISNUMBER(J31))),"SIN DATOS",IF(J31&gt;=110,"🌟 SUPERA META",IF(J31&gt;=100,"🟢 LOGRADO",IF(J31&gt;=90,"🟡 CASI LOGRADO",IF(J31&gt;=75,"🟠 RIESGO MODERADO",IF(J31&gt;=60,"🔴 RIESGO ALTO","⛔ CRÍTICO"))))))</x:f>
        <x:v>🟡 CASI LOGRADO</x:v>
      </x:c>
      <x:c r="L31" s="164" t="str">
        <x:v>Ficticio</x:v>
      </x:c>
      <x:c r="M31" s="164" t="str">
        <x:v>F0</x:v>
      </x:c>
      <x:c r="N31" s="164" t="str">
        <x:v>—</x:v>
      </x:c>
      <x:c r="O31" s="164" t="str">
        <x:v>Estimación ficticia para fines académicos; no es un dato oficial de Southwest.</x:v>
      </x:c>
    </x:row>
    <x:row r="32">
      <x:c r="A32" s="161" t="str">
        <x:v>SW-31</x:v>
      </x:c>
      <x:c r="B32" s="161" t="str">
        <x:v>Aprendizaje y crecimiento</x:v>
      </x:c>
      <x:c r="C32" s="161" t="str">
        <x:v>OBJ-A2: Cuidar clima, compromiso y retención</x:v>
      </x:c>
      <x:c r="D32" s="161" t="str">
        <x:v>Índice de compromiso del empleado</x:v>
      </x:c>
      <x:c r="E32" s="161" t="str">
        <x:v>Mayor es mejor</x:v>
      </x:c>
      <x:c r="F32" s="161" t="str">
        <x:v>puntos / 100</x:v>
      </x:c>
      <x:c r="G32" s="161" t="str">
        <x:v>2025 ilustrativo</x:v>
      </x:c>
      <x:c r="H32" s="162" t="n">
        <x:v>80</x:v>
      </x:c>
      <x:c r="I32" s="162" t="n">
        <x:v>73</x:v>
      </x:c>
      <x:c r="J32" s="184" t="n">
        <x:f>IF(OR(H32="",I32="",NOT(ISNUMBER(H32)),NOT(ISNUMBER(I32))),"-",IF(E32="Menor es mejor",IF(I32=0,100,H32/I32*100),IF(H32=0,"-",I32/H32*100)))</x:f>
        <x:v>91.25</x:v>
      </x:c>
      <x:c r="K32" s="163" t="str">
        <x:f>IF(OR(J32="-",NOT(ISNUMBER(J32))),"SIN DATOS",IF(J32&gt;=110,"🌟 SUPERA META",IF(J32&gt;=100,"🟢 LOGRADO",IF(J32&gt;=90,"🟡 CASI LOGRADO",IF(J32&gt;=75,"🟠 RIESGO MODERADO",IF(J32&gt;=60,"🔴 RIESGO ALTO","⛔ CRÍTICO"))))))</x:f>
        <x:v>🟡 CASI LOGRADO</x:v>
      </x:c>
      <x:c r="L32" s="164" t="str">
        <x:v>Ficticio</x:v>
      </x:c>
      <x:c r="M32" s="164" t="str">
        <x:v>F0</x:v>
      </x:c>
      <x:c r="N32" s="164" t="str">
        <x:v>—</x:v>
      </x:c>
      <x:c r="O32" s="164" t="str">
        <x:v>Estimación ficticia para fines académicos; no es un dato oficial de Southwest.</x:v>
      </x:c>
    </x:row>
    <x:row r="33">
      <x:c r="A33" s="161" t="str">
        <x:v>SW-32</x:v>
      </x:c>
      <x:c r="B33" s="161" t="str">
        <x:v>Aprendizaje y crecimiento</x:v>
      </x:c>
      <x:c r="C33" s="161" t="str">
        <x:v>OBJ-A2: Cuidar clima, compromiso y retención</x:v>
      </x:c>
      <x:c r="D33" s="161" t="str">
        <x:v>Rotación voluntaria de empleados</x:v>
      </x:c>
      <x:c r="E33" s="161" t="str">
        <x:v>Menor es mejor</x:v>
      </x:c>
      <x:c r="F33" s="161" t="str">
        <x:v>%</x:v>
      </x:c>
      <x:c r="G33" s="161" t="str">
        <x:v>2025 ilustrativo</x:v>
      </x:c>
      <x:c r="H33" s="162" t="n">
        <x:v>12</x:v>
      </x:c>
      <x:c r="I33" s="162" t="n">
        <x:v>16</x:v>
      </x:c>
      <x:c r="J33" s="184" t="n">
        <x:f>IF(OR(H33="",I33="",NOT(ISNUMBER(H33)),NOT(ISNUMBER(I33))),"-",IF(E33="Menor es mejor",IF(I33=0,100,H33/I33*100),IF(H33=0,"-",I33/H33*100)))</x:f>
        <x:v>75</x:v>
      </x:c>
      <x:c r="K33" s="163" t="str">
        <x:f>IF(OR(J33="-",NOT(ISNUMBER(J33))),"SIN DATOS",IF(J33&gt;=110,"🌟 SUPERA META",IF(J33&gt;=100,"🟢 LOGRADO",IF(J33&gt;=90,"🟡 CASI LOGRADO",IF(J33&gt;=75,"🟠 RIESGO MODERADO",IF(J33&gt;=60,"🔴 RIESGO ALTO","⛔ CRÍTICO"))))))</x:f>
        <x:v>🟠 RIESGO MODERADO</x:v>
      </x:c>
      <x:c r="L33" s="164" t="str">
        <x:v>Ficticio</x:v>
      </x:c>
      <x:c r="M33" s="164" t="str">
        <x:v>F0</x:v>
      </x:c>
      <x:c r="N33" s="164" t="str">
        <x:v>—</x:v>
      </x:c>
      <x:c r="O33" s="164" t="str">
        <x:v>Estimación ficticia para fines académicos; no es un dato oficial de Southwest.</x:v>
      </x:c>
    </x:row>
    <x:row r="34">
      <x:c r="A34" s="161" t="str">
        <x:v>SW-33</x:v>
      </x:c>
      <x:c r="B34" s="161" t="str">
        <x:v>Aprendizaje y crecimiento</x:v>
      </x:c>
      <x:c r="C34" s="161" t="str">
        <x:v>OBJ-A2: Cuidar clima, compromiso y retención</x:v>
      </x:c>
      <x:c r="D34" s="161" t="str">
        <x:v>Incidentes de seguridad laboral</x:v>
      </x:c>
      <x:c r="E34" s="161" t="str">
        <x:v>Menor es mejor</x:v>
      </x:c>
      <x:c r="F34" s="161" t="str">
        <x:v>por 200 mil horas</x:v>
      </x:c>
      <x:c r="G34" s="161" t="str">
        <x:v>2025 ilustrativo</x:v>
      </x:c>
      <x:c r="H34" s="162" t="n">
        <x:v>2.5</x:v>
      </x:c>
      <x:c r="I34" s="162" t="n">
        <x:v>3.1</x:v>
      </x:c>
      <x:c r="J34" s="184" t="n">
        <x:f>IF(OR(H34="",I34="",NOT(ISNUMBER(H34)),NOT(ISNUMBER(I34))),"-",IF(E34="Menor es mejor",IF(I34=0,100,H34/I34*100),IF(H34=0,"-",I34/H34*100)))</x:f>
        <x:v>80.64516129032258</x:v>
      </x:c>
      <x:c r="K34" s="163" t="str">
        <x:f>IF(OR(J34="-",NOT(ISNUMBER(J34))),"SIN DATOS",IF(J34&gt;=110,"🌟 SUPERA META",IF(J34&gt;=100,"🟢 LOGRADO",IF(J34&gt;=90,"🟡 CASI LOGRADO",IF(J34&gt;=75,"🟠 RIESGO MODERADO",IF(J34&gt;=60,"🔴 RIESGO ALTO","⛔ CRÍTICO"))))))</x:f>
        <x:v>🟠 RIESGO MODERADO</x:v>
      </x:c>
      <x:c r="L34" s="164" t="str">
        <x:v>Ficticio</x:v>
      </x:c>
      <x:c r="M34" s="164" t="str">
        <x:v>F0</x:v>
      </x:c>
      <x:c r="N34" s="164" t="str">
        <x:v>—</x:v>
      </x:c>
      <x:c r="O34" s="164" t="str">
        <x:v>Estimación ficticia para fines académicos; no es un dato oficial de Southwest.</x:v>
      </x:c>
    </x:row>
    <x:row r="35">
      <x:c r="A35" s="161" t="str">
        <x:v>SW-34</x:v>
      </x:c>
      <x:c r="B35" s="161" t="str">
        <x:v>Aprendizaje y crecimiento</x:v>
      </x:c>
      <x:c r="C35" s="161" t="str">
        <x:v>OBJ-A3: Impulsar mejora continua e innovación</x:v>
      </x:c>
      <x:c r="D35" s="161" t="str">
        <x:v>Ideas de mejora implementadas</x:v>
      </x:c>
      <x:c r="E35" s="161" t="str">
        <x:v>Mayor es mejor</x:v>
      </x:c>
      <x:c r="F35" s="161" t="str">
        <x:v>ideas/año</x:v>
      </x:c>
      <x:c r="G35" s="161" t="str">
        <x:v>2025 ilustrativo</x:v>
      </x:c>
      <x:c r="H35" s="162" t="n">
        <x:v>60</x:v>
      </x:c>
      <x:c r="I35" s="162" t="n">
        <x:v>45</x:v>
      </x:c>
      <x:c r="J35" s="184" t="n">
        <x:f>IF(OR(H35="",I35="",NOT(ISNUMBER(H35)),NOT(ISNUMBER(I35))),"-",IF(E35="Menor es mejor",IF(I35=0,100,H35/I35*100),IF(H35=0,"-",I35/H35*100)))</x:f>
        <x:v>75</x:v>
      </x:c>
      <x:c r="K35" s="163" t="str">
        <x:f>IF(OR(J35="-",NOT(ISNUMBER(J35))),"SIN DATOS",IF(J35&gt;=110,"🌟 SUPERA META",IF(J35&gt;=100,"🟢 LOGRADO",IF(J35&gt;=90,"🟡 CASI LOGRADO",IF(J35&gt;=75,"🟠 RIESGO MODERADO",IF(J35&gt;=60,"🔴 RIESGO ALTO","⛔ CRÍTICO"))))))</x:f>
        <x:v>🟠 RIESGO MODERADO</x:v>
      </x:c>
      <x:c r="L35" s="164" t="str">
        <x:v>Ficticio</x:v>
      </x:c>
      <x:c r="M35" s="164" t="str">
        <x:v>F0</x:v>
      </x:c>
      <x:c r="N35" s="164" t="str">
        <x:v>—</x:v>
      </x:c>
      <x:c r="O35" s="164" t="str">
        <x:v>Estimación ficticia para fines académicos; no es un dato oficial de Southwest.</x:v>
      </x:c>
    </x:row>
    <x:row r="36">
      <x:c r="A36" s="161" t="str">
        <x:v>SW-35</x:v>
      </x:c>
      <x:c r="B36" s="161" t="str">
        <x:v>Aprendizaje y crecimiento</x:v>
      </x:c>
      <x:c r="C36" s="161" t="str">
        <x:v>OBJ-A3: Impulsar mejora continua e innovación</x:v>
      </x:c>
      <x:c r="D36" s="161" t="str">
        <x:v>Vacantes cubiertas internamente</x:v>
      </x:c>
      <x:c r="E36" s="161" t="str">
        <x:v>Mayor es mejor</x:v>
      </x:c>
      <x:c r="F36" s="161" t="str">
        <x:v>%</x:v>
      </x:c>
      <x:c r="G36" s="161" t="str">
        <x:v>2025 ilustrativo</x:v>
      </x:c>
      <x:c r="H36" s="162" t="n">
        <x:v>45</x:v>
      </x:c>
      <x:c r="I36" s="162" t="n">
        <x:v>36</x:v>
      </x:c>
      <x:c r="J36" s="184" t="n">
        <x:f>IF(OR(H36="",I36="",NOT(ISNUMBER(H36)),NOT(ISNUMBER(I36))),"-",IF(E36="Menor es mejor",IF(I36=0,100,H36/I36*100),IF(H36=0,"-",I36/H36*100)))</x:f>
        <x:v>80</x:v>
      </x:c>
      <x:c r="K36" s="163" t="str">
        <x:f>IF(OR(J36="-",NOT(ISNUMBER(J36))),"SIN DATOS",IF(J36&gt;=110,"🌟 SUPERA META",IF(J36&gt;=100,"🟢 LOGRADO",IF(J36&gt;=90,"🟡 CASI LOGRADO",IF(J36&gt;=75,"🟠 RIESGO MODERADO",IF(J36&gt;=60,"🔴 RIESGO ALTO","⛔ CRÍTICO"))))))</x:f>
        <x:v>🟠 RIESGO MODERADO</x:v>
      </x:c>
      <x:c r="L36" s="164" t="str">
        <x:v>Ficticio</x:v>
      </x:c>
      <x:c r="M36" s="164" t="str">
        <x:v>F0</x:v>
      </x:c>
      <x:c r="N36" s="164" t="str">
        <x:v>—</x:v>
      </x:c>
      <x:c r="O36" s="164" t="str">
        <x:v>Estimación ficticia para fines académicos; no es un dato oficial de Southwest.</x:v>
      </x:c>
    </x:row>
    <x:row r="37">
      <x:c r="A37" s="161" t="str">
        <x:v>SW-36</x:v>
      </x:c>
      <x:c r="B37" s="161" t="str">
        <x:v>Aprendizaje y crecimiento</x:v>
      </x:c>
      <x:c r="C37" s="161" t="str">
        <x:v>OBJ-A3: Impulsar mejora continua e innovación</x:v>
      </x:c>
      <x:c r="D37" s="161" t="str">
        <x:v>Empleados que usan herramientas digitales nuevas</x:v>
      </x:c>
      <x:c r="E37" s="161" t="str">
        <x:v>Mayor es mejor</x:v>
      </x:c>
      <x:c r="F37" s="161" t="str">
        <x:v>%</x:v>
      </x:c>
      <x:c r="G37" s="161" t="str">
        <x:v>2025 ilustrativo</x:v>
      </x:c>
      <x:c r="H37" s="162" t="n">
        <x:v>85</x:v>
      </x:c>
      <x:c r="I37" s="162" t="n">
        <x:v>72</x:v>
      </x:c>
      <x:c r="J37" s="184" t="n">
        <x:f>IF(OR(H37="",I37="",NOT(ISNUMBER(H37)),NOT(ISNUMBER(I37))),"-",IF(E37="Menor es mejor",IF(I37=0,100,H37/I37*100),IF(H37=0,"-",I37/H37*100)))</x:f>
        <x:v>84.70588235294117</x:v>
      </x:c>
      <x:c r="K37" s="163" t="str">
        <x:f>IF(OR(J37="-",NOT(ISNUMBER(J37))),"SIN DATOS",IF(J37&gt;=110,"🌟 SUPERA META",IF(J37&gt;=100,"🟢 LOGRADO",IF(J37&gt;=90,"🟡 CASI LOGRADO",IF(J37&gt;=75,"🟠 RIESGO MODERADO",IF(J37&gt;=60,"🔴 RIESGO ALTO","⛔ CRÍTICO"))))))</x:f>
        <x:v>🟠 RIESGO MODERADO</x:v>
      </x:c>
      <x:c r="L37" s="164" t="str">
        <x:v>Ficticio</x:v>
      </x:c>
      <x:c r="M37" s="164" t="str">
        <x:v>F0</x:v>
      </x:c>
      <x:c r="N37" s="164" t="str">
        <x:v>—</x:v>
      </x:c>
      <x:c r="O37" s="164" t="str">
        <x:v>Estimación ficticia para fines académicos; no es un dato oficial de Southwest.</x:v>
      </x:c>
    </x:row>
    <x:row r="38">
      <x:c r="A38" s="165"/>
      <x:c r="B38" s="165"/>
      <x:c r="C38" s="165"/>
      <x:c r="D38" s="165"/>
      <x:c r="E38" s="165"/>
      <x:c r="F38" s="165"/>
      <x:c r="G38" s="165"/>
      <x:c r="H38" s="165"/>
      <x:c r="I38" s="165"/>
      <x:c r="J38" s="165"/>
      <x:c r="K38" s="165"/>
      <x:c r="L38" s="165"/>
      <x:c r="M38" s="165"/>
      <x:c r="N38" s="165"/>
      <x:c r="O38" s="165"/>
    </x:row>
    <x:row r="39">
      <x:c r="A39" s="165"/>
      <x:c r="B39" s="165"/>
      <x:c r="C39" s="165"/>
      <x:c r="D39" s="165"/>
      <x:c r="E39" s="165"/>
      <x:c r="F39" s="165"/>
      <x:c r="G39" s="165"/>
      <x:c r="H39" s="165"/>
      <x:c r="I39" s="165"/>
      <x:c r="J39" s="165"/>
      <x:c r="K39" s="165"/>
      <x:c r="L39" s="165"/>
      <x:c r="M39" s="165"/>
      <x:c r="N39" s="165"/>
      <x:c r="O39" s="165"/>
    </x:row>
    <x:row r="40">
      <x:c r="A40" s="166" t="str">
        <x:v>Clave de datos</x:v>
      </x:c>
      <x:c r="B40" s="166" t="str">
        <x:v>Descripción</x:v>
      </x:c>
      <x:c r="C40" s="165"/>
      <x:c r="D40" s="165"/>
      <x:c r="E40" s="165"/>
      <x:c r="F40" s="165"/>
      <x:c r="G40" s="165"/>
      <x:c r="H40" s="165"/>
      <x:c r="I40" s="165"/>
      <x:c r="J40" s="165"/>
      <x:c r="K40" s="165"/>
      <x:c r="L40" s="165"/>
      <x:c r="M40" s="165"/>
      <x:c r="N40" s="165"/>
      <x:c r="O40" s="165"/>
    </x:row>
    <x:row r="41">
      <x:c r="A41" s="165" t="str">
        <x:v>Público / Público DOT</x:v>
      </x:c>
      <x:c r="B41" s="165" t="str">
        <x:v>Reportado por Southwest o el Departamento de Transporte de EE. UU.</x:v>
      </x:c>
      <x:c r="C41" s="165"/>
      <x:c r="D41" s="165"/>
      <x:c r="E41" s="165"/>
      <x:c r="F41" s="165"/>
      <x:c r="G41" s="165"/>
      <x:c r="H41" s="165"/>
      <x:c r="I41" s="165"/>
      <x:c r="J41" s="165"/>
      <x:c r="K41" s="165"/>
      <x:c r="L41" s="165"/>
      <x:c r="M41" s="165"/>
      <x:c r="N41" s="165"/>
      <x:c r="O41" s="165"/>
    </x:row>
    <x:row r="42">
      <x:c r="A42" s="165" t="str">
        <x:v>Calculado público</x:v>
      </x:c>
      <x:c r="B42" s="165" t="str">
        <x:v>Cálculo transparente a partir de cifras públicas; fórmula descrita en la nota.</x:v>
      </x:c>
      <x:c r="C42" s="165"/>
      <x:c r="D42" s="165"/>
      <x:c r="E42" s="165"/>
      <x:c r="F42" s="165"/>
      <x:c r="G42" s="165"/>
      <x:c r="H42" s="165"/>
      <x:c r="I42" s="165"/>
      <x:c r="J42" s="165"/>
      <x:c r="K42" s="165"/>
      <x:c r="L42" s="165"/>
      <x:c r="M42" s="165"/>
      <x:c r="N42" s="165"/>
      <x:c r="O42" s="165"/>
    </x:row>
    <x:row r="43">
      <x:c r="A43" s="165" t="str">
        <x:v>Ficticio</x:v>
      </x:c>
      <x:c r="B43" s="165" t="str">
        <x:v>Valor inventado para mostrar el funcionamiento del BSC; no representa desempeño real.</x:v>
      </x:c>
      <x:c r="C43" s="165"/>
      <x:c r="D43" s="165"/>
      <x:c r="E43" s="165"/>
      <x:c r="F43" s="165"/>
      <x:c r="G43" s="165"/>
      <x:c r="H43" s="165"/>
      <x:c r="I43" s="165"/>
      <x:c r="J43" s="165"/>
      <x:c r="K43" s="165"/>
      <x:c r="L43" s="165"/>
      <x:c r="M43" s="165"/>
      <x:c r="N43" s="165"/>
      <x:c r="O43" s="165"/>
    </x:row>
    <x:row r="44">
      <x:c r="A44" s="165"/>
      <x:c r="B44" s="165"/>
      <x:c r="C44" s="165"/>
      <x:c r="D44" s="165"/>
      <x:c r="E44" s="165"/>
      <x:c r="F44" s="165"/>
      <x:c r="G44" s="165"/>
      <x:c r="H44" s="165"/>
      <x:c r="I44" s="165"/>
      <x:c r="J44" s="165"/>
      <x:c r="K44" s="165"/>
      <x:c r="L44" s="165"/>
      <x:c r="M44" s="165"/>
      <x:c r="N44" s="165"/>
      <x:c r="O44" s="165"/>
    </x:row>
    <x:row r="45">
      <x:c r="A45" s="166" t="str">
        <x:v>Fuentes principales</x:v>
      </x:c>
      <x:c r="B45" s="166" t="str">
        <x:v>URL oficial</x:v>
      </x:c>
      <x:c r="C45" s="165"/>
      <x:c r="D45" s="165"/>
      <x:c r="E45" s="165"/>
      <x:c r="F45" s="165"/>
      <x:c r="G45" s="165"/>
      <x:c r="H45" s="165"/>
      <x:c r="I45" s="165"/>
      <x:c r="J45" s="165"/>
      <x:c r="K45" s="165"/>
      <x:c r="L45" s="165"/>
      <x:c r="M45" s="165"/>
      <x:c r="N45" s="165"/>
      <x:c r="O45" s="165"/>
    </x:row>
    <x:row r="46">
      <x:c r="A46" s="165" t="str">
        <x:v>S1 — Informe anual 2025 / 10-K</x:v>
      </x:c>
      <x:c r="B46" s="165" t="str">
        <x:v>https://investors.southwest.com/sec-filings/all-sec-filings/content/0000092380-26-000004/luv-20251231.htm</x:v>
      </x:c>
      <x:c r="C46" s="165"/>
      <x:c r="D46" s="165"/>
      <x:c r="E46" s="165"/>
      <x:c r="F46" s="165"/>
      <x:c r="G46" s="165"/>
      <x:c r="H46" s="165"/>
      <x:c r="I46" s="165"/>
      <x:c r="J46" s="165"/>
      <x:c r="K46" s="165"/>
      <x:c r="L46" s="165"/>
      <x:c r="M46" s="165"/>
      <x:c r="N46" s="165"/>
      <x:c r="O46" s="165"/>
    </x:row>
    <x:row r="47">
      <x:c r="A47" s="165" t="str">
        <x:v>S2 — DOT ATCR diciembre 2025 (datos operativos de octubre 2025)</x:v>
      </x:c>
      <x:c r="B47" s="165" t="str">
        <x:v>https://www.transportation.gov/sites/dot.gov/files/2026-01/December%202025%20ATCR.pdf</x:v>
      </x:c>
      <x:c r="C47" s="165"/>
      <x:c r="D47" s="165"/>
      <x:c r="E47" s="165"/>
      <x:c r="F47" s="165"/>
      <x:c r="G47" s="165"/>
      <x:c r="H47" s="165"/>
      <x:c r="I47" s="165"/>
      <x:c r="J47" s="165"/>
      <x:c r="K47" s="165"/>
      <x:c r="L47" s="165"/>
      <x:c r="M47" s="165"/>
      <x:c r="N47" s="165"/>
      <x:c r="O47" s="165"/>
    </x:row>
    <x:row r="48">
      <x:c r="A48" s="165" t="str">
        <x:v>S3 — Resultados anuales 2025 de Southwest</x:v>
      </x:c>
      <x:c r="B48" s="165" t="str">
        <x:v>https://investors.southwest.com/news-events/press-releases/detail/1914/southwest-airlines-reports-fourth-quarter-and-full-year-2025-results-expects-strong-2026-financial-performance-from-business-transformation</x:v>
      </x:c>
      <x:c r="C48" s="165"/>
      <x:c r="D48" s="165"/>
      <x:c r="E48" s="165"/>
      <x:c r="F48" s="165"/>
      <x:c r="G48" s="165"/>
      <x:c r="H48" s="165"/>
      <x:c r="I48" s="165"/>
      <x:c r="J48" s="165"/>
      <x:c r="K48" s="165"/>
      <x:c r="L48" s="165"/>
      <x:c r="M48" s="165"/>
      <x:c r="N48" s="165"/>
      <x:c r="O48" s="165"/>
    </x:row>
    <x:row r="49">
      <x:c r="A49" s="165"/>
      <x:c r="B49" s="165"/>
      <x:c r="C49" s="165"/>
      <x:c r="D49" s="165"/>
      <x:c r="E49" s="165"/>
      <x:c r="F49" s="165"/>
      <x:c r="G49" s="165"/>
      <x:c r="H49" s="165"/>
      <x:c r="I49" s="165"/>
      <x:c r="J49" s="165"/>
      <x:c r="K49" s="165"/>
      <x:c r="L49" s="165"/>
      <x:c r="M49" s="165"/>
      <x:c r="N49" s="165"/>
      <x:c r="O49" s="165"/>
    </x:row>
    <x:row r="50">
      <x:c r="A50" s="167" t="str">
        <x:v>Nota de uso</x:v>
      </x:c>
      <x:c r="B50" s="167" t="str">
        <x:v>Las metas son propuestas académicas, no objetivos corporativos publicados. Verifique y sustituya los valores ficticios por información interna antes de usar este BSC para decisiones.</x:v>
      </x:c>
      <x:c r="C50" s="165"/>
      <x:c r="D50" s="165"/>
      <x:c r="E50" s="165"/>
      <x:c r="F50" s="165"/>
      <x:c r="G50" s="165"/>
      <x:c r="H50" s="165"/>
      <x:c r="I50" s="165"/>
      <x:c r="J50" s="165"/>
      <x:c r="K50" s="165"/>
      <x:c r="L50" s="165"/>
      <x:c r="M50" s="165"/>
      <x:c r="N50" s="165"/>
      <x:c r="O50" s="165"/>
    </x:row>
    <x:row r="51">
      <x:c r="A51" s="168" t="str">
        <x:v>Fecha de corte</x:v>
      </x:c>
      <x:c r="B51" s="168" t="str">
        <x:v>19-oct-2026; se usa 2025 como último ejercicio anual completo. Los datos DOT corresponden a octubre de 2025.</x:v>
      </x:c>
      <x:c r="C51" s="165"/>
      <x:c r="D51" s="165"/>
      <x:c r="E51" s="165"/>
      <x:c r="F51" s="165"/>
      <x:c r="G51" s="165"/>
      <x:c r="H51" s="165"/>
      <x:c r="I51" s="165"/>
      <x:c r="J51" s="165"/>
      <x:c r="K51" s="165"/>
      <x:c r="L51" s="165"/>
      <x:c r="M51" s="165"/>
      <x:c r="N51" s="165"/>
      <x:c r="O51" s="165"/>
    </x:row>
  </x:sheetData>
  <x:pageMargins left="0.7" right="0.7" top="0.75" bottom="0.75" header="0.3" footer="0.3"/>
</x:worksheet>
</file>